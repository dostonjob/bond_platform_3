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Администратор\Desktop\"/>
    </mc:Choice>
  </mc:AlternateContent>
  <xr:revisionPtr revIDLastSave="0" documentId="13_ncr:1_{63A61507-A968-451D-B092-83174BEE2FAB}" xr6:coauthVersionLast="47" xr6:coauthVersionMax="47" xr10:uidLastSave="{00000000-0000-0000-0000-000000000000}"/>
  <bookViews>
    <workbookView xWindow="-28920" yWindow="-3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77" i="1" l="1"/>
  <c r="V77" i="1"/>
  <c r="U77" i="1"/>
  <c r="S77" i="1"/>
  <c r="Q77" i="1"/>
  <c r="P77" i="1"/>
  <c r="O77" i="1"/>
  <c r="N77" i="1"/>
  <c r="M77" i="1"/>
  <c r="K77" i="1"/>
  <c r="I77" i="1"/>
  <c r="H77" i="1"/>
  <c r="G77" i="1"/>
  <c r="E77" i="1"/>
  <c r="N74" i="1"/>
  <c r="B73" i="1"/>
  <c r="A73" i="1"/>
  <c r="J73" i="1" s="1"/>
  <c r="D72" i="1"/>
  <c r="D71" i="1"/>
  <c r="C71" i="1"/>
  <c r="D70" i="1"/>
  <c r="C70" i="1"/>
  <c r="D69" i="1"/>
  <c r="C69" i="1"/>
  <c r="D68" i="1"/>
  <c r="J67" i="1"/>
  <c r="D67" i="1"/>
  <c r="J66" i="1"/>
  <c r="D66" i="1"/>
  <c r="J65" i="1"/>
  <c r="D65" i="1"/>
  <c r="J64" i="1"/>
  <c r="D64" i="1"/>
  <c r="J63" i="1"/>
  <c r="D63" i="1"/>
  <c r="C63" i="1"/>
  <c r="J62" i="1"/>
  <c r="D62" i="1"/>
  <c r="C62" i="1"/>
  <c r="J61" i="1"/>
  <c r="D61" i="1"/>
  <c r="C61" i="1"/>
  <c r="J60" i="1"/>
  <c r="D60" i="1"/>
  <c r="C60" i="1"/>
  <c r="J59" i="1"/>
  <c r="D59" i="1"/>
  <c r="J58" i="1"/>
  <c r="D58" i="1"/>
  <c r="J57" i="1"/>
  <c r="D57" i="1"/>
  <c r="J56" i="1"/>
  <c r="D56" i="1"/>
  <c r="J55" i="1"/>
  <c r="D55" i="1"/>
  <c r="J54" i="1"/>
  <c r="D54" i="1"/>
  <c r="J53" i="1"/>
  <c r="D53" i="1"/>
  <c r="C53" i="1"/>
  <c r="J52" i="1"/>
  <c r="D52" i="1"/>
  <c r="J51" i="1"/>
  <c r="D51" i="1"/>
  <c r="J50" i="1"/>
  <c r="D50" i="1"/>
  <c r="C50" i="1"/>
  <c r="J49" i="1"/>
  <c r="D49" i="1"/>
  <c r="J48" i="1"/>
  <c r="D48" i="1"/>
  <c r="J47" i="1"/>
  <c r="D47" i="1"/>
  <c r="C47" i="1"/>
  <c r="J46" i="1"/>
  <c r="D46" i="1"/>
  <c r="J45" i="1"/>
  <c r="D45" i="1"/>
  <c r="J44" i="1"/>
  <c r="D44" i="1"/>
  <c r="C44" i="1"/>
  <c r="J43" i="1"/>
  <c r="D43" i="1"/>
  <c r="J42" i="1"/>
  <c r="D42" i="1"/>
  <c r="C42" i="1"/>
  <c r="J41" i="1"/>
  <c r="D41" i="1"/>
  <c r="C41" i="1"/>
  <c r="J40" i="1"/>
  <c r="D40" i="1"/>
  <c r="C40" i="1"/>
  <c r="J39" i="1"/>
  <c r="D39" i="1"/>
  <c r="J38" i="1"/>
  <c r="D38" i="1"/>
  <c r="J37" i="1"/>
  <c r="D37" i="1"/>
  <c r="J36" i="1"/>
  <c r="D36" i="1"/>
  <c r="J35" i="1"/>
  <c r="D35" i="1"/>
  <c r="J34" i="1"/>
  <c r="G34" i="1"/>
  <c r="I34" i="1" s="1"/>
  <c r="K34" i="1" s="1"/>
  <c r="O34" i="1" s="1"/>
  <c r="E34" i="1"/>
  <c r="D34" i="1"/>
  <c r="B34" i="1"/>
  <c r="J33" i="1"/>
  <c r="A33" i="1"/>
  <c r="T32" i="1"/>
  <c r="L32" i="1"/>
  <c r="L33" i="1" s="1"/>
  <c r="J32" i="1"/>
  <c r="G32" i="1"/>
  <c r="E32" i="1"/>
  <c r="D32" i="1"/>
  <c r="C32" i="1"/>
  <c r="C33" i="1" s="1"/>
  <c r="B32" i="1"/>
  <c r="B26" i="1"/>
  <c r="B22" i="1" s="1"/>
  <c r="B21" i="1"/>
  <c r="B14" i="1"/>
  <c r="B13" i="1"/>
  <c r="B11" i="1"/>
  <c r="B7" i="1"/>
  <c r="B6" i="1"/>
  <c r="W103" i="1"/>
  <c r="V103" i="1"/>
  <c r="U103" i="1"/>
  <c r="S103" i="1"/>
  <c r="Q103" i="1"/>
  <c r="P103" i="1"/>
  <c r="O103" i="1"/>
  <c r="C73" i="1" l="1"/>
  <c r="F56" i="1" s="1"/>
  <c r="E56" i="1" s="1"/>
  <c r="J71" i="1"/>
  <c r="D73" i="1"/>
  <c r="F50" i="1" s="1"/>
  <c r="E50" i="1" s="1"/>
  <c r="J69" i="1"/>
  <c r="J72" i="1"/>
  <c r="J68" i="1"/>
  <c r="J70" i="1"/>
  <c r="R35" i="1"/>
  <c r="C66" i="1"/>
  <c r="C38" i="1"/>
  <c r="C51" i="1"/>
  <c r="C64" i="1"/>
  <c r="C36" i="1"/>
  <c r="C49" i="1"/>
  <c r="C54" i="1"/>
  <c r="C55" i="1"/>
  <c r="C46" i="1"/>
  <c r="C68" i="1"/>
  <c r="C57" i="1"/>
  <c r="C37" i="1"/>
  <c r="C35" i="1"/>
  <c r="C48" i="1"/>
  <c r="C59" i="1"/>
  <c r="C39" i="1"/>
  <c r="C72" i="1"/>
  <c r="C65" i="1"/>
  <c r="C43" i="1"/>
  <c r="C34" i="1"/>
  <c r="C45" i="1"/>
  <c r="C67" i="1"/>
  <c r="C56" i="1"/>
  <c r="H56" i="1" s="1"/>
  <c r="B33" i="1"/>
  <c r="C58" i="1"/>
  <c r="D33" i="1"/>
  <c r="C52" i="1"/>
  <c r="H61" i="1"/>
  <c r="G61" i="1" s="1"/>
  <c r="S79" i="1"/>
  <c r="S78" i="1"/>
  <c r="I32" i="1"/>
  <c r="T77" i="1"/>
  <c r="T103" i="1"/>
  <c r="S104" i="1"/>
  <c r="G56" i="1" l="1"/>
  <c r="H63" i="1"/>
  <c r="H71" i="1"/>
  <c r="H58" i="1"/>
  <c r="H45" i="1"/>
  <c r="H60" i="1"/>
  <c r="H47" i="1"/>
  <c r="H73" i="1"/>
  <c r="F70" i="1"/>
  <c r="E70" i="1" s="1"/>
  <c r="F60" i="1"/>
  <c r="E60" i="1" s="1"/>
  <c r="F47" i="1"/>
  <c r="E47" i="1" s="1"/>
  <c r="F73" i="1"/>
  <c r="E73" i="1" s="1"/>
  <c r="F62" i="1"/>
  <c r="E62" i="1" s="1"/>
  <c r="F49" i="1"/>
  <c r="E49" i="1" s="1"/>
  <c r="F67" i="1"/>
  <c r="E67" i="1" s="1"/>
  <c r="F48" i="1"/>
  <c r="E48" i="1" s="1"/>
  <c r="H70" i="1"/>
  <c r="F59" i="1"/>
  <c r="E59" i="1" s="1"/>
  <c r="H50" i="1"/>
  <c r="F33" i="1"/>
  <c r="E33" i="1" s="1"/>
  <c r="H33" i="1"/>
  <c r="G33" i="1" s="1"/>
  <c r="F39" i="1"/>
  <c r="E39" i="1" s="1"/>
  <c r="H41" i="1"/>
  <c r="F45" i="1"/>
  <c r="E45" i="1" s="1"/>
  <c r="F65" i="1"/>
  <c r="E65" i="1" s="1"/>
  <c r="I43" i="1"/>
  <c r="I50" i="1"/>
  <c r="I61" i="1"/>
  <c r="K61" i="1" s="1"/>
  <c r="I41" i="1"/>
  <c r="I52" i="1"/>
  <c r="K32" i="1"/>
  <c r="I67" i="1"/>
  <c r="I57" i="1"/>
  <c r="I35" i="1"/>
  <c r="I44" i="1"/>
  <c r="I56" i="1"/>
  <c r="K56" i="1" s="1"/>
  <c r="I62" i="1"/>
  <c r="I33" i="1"/>
  <c r="K33" i="1" s="1"/>
  <c r="I49" i="1"/>
  <c r="I55" i="1"/>
  <c r="I59" i="1"/>
  <c r="I46" i="1"/>
  <c r="I66" i="1"/>
  <c r="H52" i="1"/>
  <c r="F61" i="1"/>
  <c r="E61" i="1" s="1"/>
  <c r="F41" i="1"/>
  <c r="E41" i="1" s="1"/>
  <c r="H69" i="1"/>
  <c r="H36" i="1"/>
  <c r="F69" i="1"/>
  <c r="E69" i="1" s="1"/>
  <c r="F58" i="1"/>
  <c r="E58" i="1" s="1"/>
  <c r="H72" i="1"/>
  <c r="H65" i="1"/>
  <c r="F52" i="1"/>
  <c r="E52" i="1" s="1"/>
  <c r="F46" i="1"/>
  <c r="E46" i="1" s="1"/>
  <c r="F72" i="1"/>
  <c r="E72" i="1" s="1"/>
  <c r="H55" i="1"/>
  <c r="F36" i="1"/>
  <c r="E36" i="1" s="1"/>
  <c r="H68" i="1"/>
  <c r="F55" i="1"/>
  <c r="E55" i="1" s="1"/>
  <c r="H39" i="1"/>
  <c r="H42" i="1"/>
  <c r="F68" i="1"/>
  <c r="E68" i="1" s="1"/>
  <c r="F71" i="1"/>
  <c r="E71" i="1" s="1"/>
  <c r="H51" i="1"/>
  <c r="F42" i="1"/>
  <c r="E42" i="1" s="1"/>
  <c r="H48" i="1"/>
  <c r="H64" i="1"/>
  <c r="H54" i="1"/>
  <c r="I54" i="1" s="1"/>
  <c r="F51" i="1"/>
  <c r="E51" i="1" s="1"/>
  <c r="H67" i="1"/>
  <c r="F64" i="1"/>
  <c r="E64" i="1" s="1"/>
  <c r="F54" i="1"/>
  <c r="E54" i="1" s="1"/>
  <c r="H38" i="1"/>
  <c r="H57" i="1"/>
  <c r="F38" i="1"/>
  <c r="E38" i="1" s="1"/>
  <c r="H35" i="1"/>
  <c r="F57" i="1"/>
  <c r="E57" i="1" s="1"/>
  <c r="H44" i="1"/>
  <c r="F35" i="1"/>
  <c r="H62" i="1"/>
  <c r="F44" i="1"/>
  <c r="E44" i="1" s="1"/>
  <c r="F66" i="1"/>
  <c r="E66" i="1" s="1"/>
  <c r="H46" i="1"/>
  <c r="H49" i="1"/>
  <c r="H43" i="1"/>
  <c r="H53" i="1"/>
  <c r="F37" i="1"/>
  <c r="E37" i="1" s="1"/>
  <c r="H40" i="1"/>
  <c r="F43" i="1"/>
  <c r="E43" i="1" s="1"/>
  <c r="H66" i="1"/>
  <c r="H37" i="1"/>
  <c r="F53" i="1"/>
  <c r="E53" i="1" s="1"/>
  <c r="H59" i="1"/>
  <c r="F63" i="1"/>
  <c r="E63" i="1" s="1"/>
  <c r="F40" i="1"/>
  <c r="E40" i="1" s="1"/>
  <c r="O99" i="1"/>
  <c r="X99" i="1"/>
  <c r="P99" i="1"/>
  <c r="G64" i="1" l="1"/>
  <c r="X61" i="1"/>
  <c r="O61" i="1"/>
  <c r="G73" i="1"/>
  <c r="G48" i="1"/>
  <c r="I73" i="1"/>
  <c r="K73" i="1" s="1"/>
  <c r="K50" i="1"/>
  <c r="G47" i="1"/>
  <c r="G59" i="1"/>
  <c r="K59" i="1" s="1"/>
  <c r="K55" i="1"/>
  <c r="I70" i="1"/>
  <c r="K70" i="1" s="1"/>
  <c r="G60" i="1"/>
  <c r="G51" i="1"/>
  <c r="K49" i="1"/>
  <c r="I48" i="1"/>
  <c r="K48" i="1" s="1"/>
  <c r="G45" i="1"/>
  <c r="G37" i="1"/>
  <c r="I40" i="1"/>
  <c r="G58" i="1"/>
  <c r="G66" i="1"/>
  <c r="K66" i="1" s="1"/>
  <c r="I53" i="1"/>
  <c r="I71" i="1"/>
  <c r="G71" i="1"/>
  <c r="G42" i="1"/>
  <c r="O33" i="1"/>
  <c r="M33" i="1"/>
  <c r="N33" i="1" s="1"/>
  <c r="P33" i="1" s="1"/>
  <c r="I58" i="1"/>
  <c r="K58" i="1" s="1"/>
  <c r="G63" i="1"/>
  <c r="G40" i="1"/>
  <c r="G39" i="1"/>
  <c r="K62" i="1"/>
  <c r="I45" i="1"/>
  <c r="X56" i="1"/>
  <c r="O56" i="1"/>
  <c r="G53" i="1"/>
  <c r="G68" i="1"/>
  <c r="I60" i="1"/>
  <c r="G43" i="1"/>
  <c r="K43" i="1" s="1"/>
  <c r="G49" i="1"/>
  <c r="G55" i="1"/>
  <c r="K57" i="1"/>
  <c r="G46" i="1"/>
  <c r="K67" i="1"/>
  <c r="G41" i="1"/>
  <c r="K41" i="1" s="1"/>
  <c r="M71" i="1"/>
  <c r="N71" i="1" s="1"/>
  <c r="M43" i="1"/>
  <c r="N43" i="1" s="1"/>
  <c r="M56" i="1"/>
  <c r="N56" i="1" s="1"/>
  <c r="M69" i="1"/>
  <c r="N69" i="1" s="1"/>
  <c r="M41" i="1"/>
  <c r="N41" i="1" s="1"/>
  <c r="M54" i="1"/>
  <c r="N54" i="1" s="1"/>
  <c r="M59" i="1"/>
  <c r="N59" i="1" s="1"/>
  <c r="M63" i="1"/>
  <c r="N63" i="1" s="1"/>
  <c r="M72" i="1"/>
  <c r="N72" i="1" s="1"/>
  <c r="M65" i="1"/>
  <c r="N65" i="1" s="1"/>
  <c r="M67" i="1"/>
  <c r="N67" i="1" s="1"/>
  <c r="M47" i="1"/>
  <c r="N47" i="1" s="1"/>
  <c r="M58" i="1"/>
  <c r="N58" i="1" s="1"/>
  <c r="M38" i="1"/>
  <c r="N38" i="1" s="1"/>
  <c r="M49" i="1"/>
  <c r="N49" i="1" s="1"/>
  <c r="M40" i="1"/>
  <c r="N40" i="1" s="1"/>
  <c r="M60" i="1"/>
  <c r="N60" i="1" s="1"/>
  <c r="M51" i="1"/>
  <c r="N51" i="1" s="1"/>
  <c r="M62" i="1"/>
  <c r="N62" i="1" s="1"/>
  <c r="M68" i="1"/>
  <c r="N68" i="1" s="1"/>
  <c r="M39" i="1"/>
  <c r="N39" i="1" s="1"/>
  <c r="M45" i="1"/>
  <c r="N45" i="1" s="1"/>
  <c r="M64" i="1"/>
  <c r="N64" i="1" s="1"/>
  <c r="M61" i="1"/>
  <c r="N61" i="1" s="1"/>
  <c r="M48" i="1"/>
  <c r="N48" i="1" s="1"/>
  <c r="O32" i="1"/>
  <c r="M57" i="1"/>
  <c r="N57" i="1" s="1"/>
  <c r="M35" i="1"/>
  <c r="N35" i="1" s="1"/>
  <c r="M44" i="1"/>
  <c r="N44" i="1" s="1"/>
  <c r="M70" i="1"/>
  <c r="N70" i="1" s="1"/>
  <c r="M53" i="1"/>
  <c r="N53" i="1" s="1"/>
  <c r="M50" i="1"/>
  <c r="N50" i="1" s="1"/>
  <c r="M66" i="1"/>
  <c r="N66" i="1" s="1"/>
  <c r="M52" i="1"/>
  <c r="N52" i="1" s="1"/>
  <c r="M55" i="1"/>
  <c r="N55" i="1" s="1"/>
  <c r="M37" i="1"/>
  <c r="N37" i="1" s="1"/>
  <c r="M42" i="1"/>
  <c r="N42" i="1" s="1"/>
  <c r="M46" i="1"/>
  <c r="N46" i="1" s="1"/>
  <c r="M73" i="1"/>
  <c r="N73" i="1" s="1"/>
  <c r="M36" i="1"/>
  <c r="N36" i="1" s="1"/>
  <c r="G62" i="1"/>
  <c r="G65" i="1"/>
  <c r="I64" i="1"/>
  <c r="K64" i="1" s="1"/>
  <c r="E35" i="1"/>
  <c r="H78" i="1"/>
  <c r="G72" i="1"/>
  <c r="I51" i="1"/>
  <c r="G50" i="1"/>
  <c r="G44" i="1"/>
  <c r="K44" i="1" s="1"/>
  <c r="I42" i="1"/>
  <c r="K42" i="1" s="1"/>
  <c r="I39" i="1"/>
  <c r="G70" i="1"/>
  <c r="G35" i="1"/>
  <c r="K35" i="1" s="1"/>
  <c r="G36" i="1"/>
  <c r="I68" i="1"/>
  <c r="K68" i="1" s="1"/>
  <c r="G69" i="1"/>
  <c r="I38" i="1"/>
  <c r="K38" i="1" s="1"/>
  <c r="G57" i="1"/>
  <c r="I47" i="1"/>
  <c r="G38" i="1"/>
  <c r="I36" i="1"/>
  <c r="G52" i="1"/>
  <c r="I69" i="1"/>
  <c r="I65" i="1"/>
  <c r="I72" i="1"/>
  <c r="K72" i="1" s="1"/>
  <c r="G67" i="1"/>
  <c r="I37" i="1"/>
  <c r="K37" i="1" s="1"/>
  <c r="I63" i="1"/>
  <c r="K46" i="1"/>
  <c r="G54" i="1"/>
  <c r="K54" i="1" s="1"/>
  <c r="K52" i="1"/>
  <c r="Y99" i="1"/>
  <c r="S105" i="1"/>
  <c r="P72" i="1" l="1"/>
  <c r="P37" i="1"/>
  <c r="P59" i="1"/>
  <c r="P54" i="1"/>
  <c r="P66" i="1"/>
  <c r="X66" i="1"/>
  <c r="O66" i="1"/>
  <c r="O41" i="1"/>
  <c r="X41" i="1"/>
  <c r="X35" i="1"/>
  <c r="Y35" i="1" s="1"/>
  <c r="O35" i="1"/>
  <c r="P35" i="1" s="1"/>
  <c r="X44" i="1"/>
  <c r="O44" i="1"/>
  <c r="X59" i="1"/>
  <c r="Y59" i="1" s="1"/>
  <c r="O59" i="1"/>
  <c r="P46" i="1"/>
  <c r="P55" i="1"/>
  <c r="P41" i="1"/>
  <c r="P44" i="1"/>
  <c r="X43" i="1"/>
  <c r="Y43" i="1" s="1"/>
  <c r="O43" i="1"/>
  <c r="P43" i="1" s="1"/>
  <c r="P42" i="1"/>
  <c r="P49" i="1"/>
  <c r="O54" i="1"/>
  <c r="X54" i="1"/>
  <c r="O48" i="1"/>
  <c r="P48" i="1" s="1"/>
  <c r="X48" i="1"/>
  <c r="K45" i="1"/>
  <c r="X55" i="1"/>
  <c r="O55" i="1"/>
  <c r="K39" i="1"/>
  <c r="X42" i="1"/>
  <c r="O42" i="1"/>
  <c r="O58" i="1"/>
  <c r="P58" i="1" s="1"/>
  <c r="X58" i="1"/>
  <c r="Y58" i="1" s="1"/>
  <c r="O46" i="1"/>
  <c r="X46" i="1"/>
  <c r="K63" i="1"/>
  <c r="P61" i="1"/>
  <c r="X50" i="1"/>
  <c r="O50" i="1"/>
  <c r="P50" i="1" s="1"/>
  <c r="X73" i="1"/>
  <c r="Y73" i="1" s="1"/>
  <c r="O73" i="1"/>
  <c r="P73" i="1" s="1"/>
  <c r="K51" i="1"/>
  <c r="K65" i="1"/>
  <c r="K71" i="1"/>
  <c r="O49" i="1"/>
  <c r="X49" i="1"/>
  <c r="Y49" i="1" s="1"/>
  <c r="X62" i="1"/>
  <c r="Y62" i="1" s="1"/>
  <c r="O62" i="1"/>
  <c r="P62" i="1" s="1"/>
  <c r="P56" i="1"/>
  <c r="X52" i="1"/>
  <c r="O52" i="1"/>
  <c r="P52" i="1" s="1"/>
  <c r="X67" i="1"/>
  <c r="Y67" i="1" s="1"/>
  <c r="O67" i="1"/>
  <c r="P67" i="1" s="1"/>
  <c r="X37" i="1"/>
  <c r="O37" i="1"/>
  <c r="O57" i="1"/>
  <c r="P57" i="1" s="1"/>
  <c r="X57" i="1"/>
  <c r="Y57" i="1" s="1"/>
  <c r="O72" i="1"/>
  <c r="X72" i="1"/>
  <c r="K69" i="1"/>
  <c r="K53" i="1"/>
  <c r="X68" i="1"/>
  <c r="O68" i="1"/>
  <c r="P68" i="1" s="1"/>
  <c r="X64" i="1"/>
  <c r="O64" i="1"/>
  <c r="P64" i="1" s="1"/>
  <c r="X38" i="1"/>
  <c r="Y38" i="1" s="1"/>
  <c r="O38" i="1"/>
  <c r="P38" i="1" s="1"/>
  <c r="Y56" i="1"/>
  <c r="X70" i="1"/>
  <c r="O70" i="1"/>
  <c r="P70" i="1" s="1"/>
  <c r="K36" i="1"/>
  <c r="K60" i="1"/>
  <c r="K47" i="1"/>
  <c r="K40" i="1"/>
  <c r="Y54" i="1" l="1"/>
  <c r="O40" i="1"/>
  <c r="P40" i="1" s="1"/>
  <c r="X40" i="1"/>
  <c r="Y40" i="1" s="1"/>
  <c r="X60" i="1"/>
  <c r="O60" i="1"/>
  <c r="P60" i="1" s="1"/>
  <c r="Y44" i="1"/>
  <c r="X71" i="1"/>
  <c r="Y71" i="1" s="1"/>
  <c r="O71" i="1"/>
  <c r="P71" i="1" s="1"/>
  <c r="Y50" i="1"/>
  <c r="O69" i="1"/>
  <c r="P69" i="1" s="1"/>
  <c r="X69" i="1"/>
  <c r="Y69" i="1" s="1"/>
  <c r="Y72" i="1"/>
  <c r="Y42" i="1"/>
  <c r="X39" i="1"/>
  <c r="Y39" i="1" s="1"/>
  <c r="O39" i="1"/>
  <c r="P39" i="1" s="1"/>
  <c r="X47" i="1"/>
  <c r="Y47" i="1" s="1"/>
  <c r="O47" i="1"/>
  <c r="P47" i="1" s="1"/>
  <c r="X36" i="1"/>
  <c r="Y36" i="1" s="1"/>
  <c r="O36" i="1"/>
  <c r="P36" i="1" s="1"/>
  <c r="X65" i="1"/>
  <c r="Y65" i="1" s="1"/>
  <c r="O65" i="1"/>
  <c r="P65" i="1" s="1"/>
  <c r="X51" i="1"/>
  <c r="Y51" i="1" s="1"/>
  <c r="O51" i="1"/>
  <c r="P51" i="1" s="1"/>
  <c r="X63" i="1"/>
  <c r="Y63" i="1" s="1"/>
  <c r="O63" i="1"/>
  <c r="P63" i="1" s="1"/>
  <c r="Y46" i="1"/>
  <c r="Y68" i="1"/>
  <c r="X53" i="1"/>
  <c r="Y53" i="1" s="1"/>
  <c r="O53" i="1"/>
  <c r="P53" i="1" s="1"/>
  <c r="Y55" i="1"/>
  <c r="X45" i="1"/>
  <c r="Y45" i="1" s="1"/>
  <c r="O45" i="1"/>
  <c r="P45" i="1" s="1"/>
  <c r="Y41" i="1" l="1"/>
  <c r="Y52" i="1"/>
  <c r="Y48" i="1"/>
  <c r="Y66" i="1"/>
  <c r="Y70" i="1"/>
  <c r="Y37" i="1"/>
  <c r="Y64" i="1"/>
  <c r="Y60" i="1"/>
  <c r="Y61" i="1"/>
</calcChain>
</file>

<file path=xl/sharedStrings.xml><?xml version="1.0" encoding="utf-8"?>
<sst xmlns="http://schemas.openxmlformats.org/spreadsheetml/2006/main" count="59" uniqueCount="40">
  <si>
    <t>ISIN</t>
  </si>
  <si>
    <t>Payment Date</t>
  </si>
  <si>
    <t>CUSIP</t>
  </si>
  <si>
    <t>Par value</t>
  </si>
  <si>
    <t>Clean Trade
Price</t>
  </si>
  <si>
    <t>Coupon rate</t>
  </si>
  <si>
    <t>Coupon Amount</t>
  </si>
  <si>
    <t>Accrued Interest</t>
  </si>
  <si>
    <t>Interest Days</t>
  </si>
  <si>
    <t>Settle date</t>
  </si>
  <si>
    <t>Last Interest date</t>
  </si>
  <si>
    <t>Next Interest date</t>
  </si>
  <si>
    <t>Maturity date</t>
  </si>
  <si>
    <t>Discount</t>
  </si>
  <si>
    <t>Premium</t>
  </si>
  <si>
    <t>Cashflow Dates</t>
  </si>
  <si>
    <t>Cashflow</t>
  </si>
  <si>
    <t>Nominal</t>
  </si>
  <si>
    <t># of Days</t>
  </si>
  <si>
    <t>Bond Discount</t>
  </si>
  <si>
    <t>Cummulative  Amortization
Discount</t>
  </si>
  <si>
    <t>Bond Premium</t>
  </si>
  <si>
    <t>Cummulative  Amortization
Premium</t>
  </si>
  <si>
    <t>Ending Carrying Value</t>
  </si>
  <si>
    <t>Price</t>
  </si>
  <si>
    <t>MTM</t>
  </si>
  <si>
    <t>OCI G/L</t>
  </si>
  <si>
    <t>NAV</t>
  </si>
  <si>
    <t>Check</t>
  </si>
  <si>
    <t>P&amp;L (Sell)</t>
  </si>
  <si>
    <t>Interest income</t>
  </si>
  <si>
    <t>Total P&amp;L</t>
  </si>
  <si>
    <t>WAC</t>
  </si>
  <si>
    <t>Default probability (DRSK)</t>
  </si>
  <si>
    <t>LGD (1-CDS recovery rate)</t>
  </si>
  <si>
    <t>Expected loss</t>
  </si>
  <si>
    <t>Change</t>
  </si>
  <si>
    <t>10891+10801</t>
  </si>
  <si>
    <t>P&amp;L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</si>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</sst>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_-* #,##0.00\ _₽_-;\-* #,##0.00\ _₽_-;_-* &quot;-&quot;??\ _₽_-;_-@_-"/>
    <numFmt numFmtId="167" formatCode="[$-409]d\-mmm\-yy;@"/>
    <numFmt numFmtId="168" formatCode="_(* #,##0.00000000_);_(* \(#,##0.00000000\);_(* &quot;-&quot;??_);_(@_)"/>
    <numFmt numFmtId="169" formatCode="0.0000000000"/>
    <numFmt numFmtId="170" formatCode="0.0000%"/>
    <numFmt numFmtId="171" formatCode="_(* #,##0.0000000_);_(* \(#,##0.0000000\);_(* &quot;-&quot;??_);_(@_)"/>
    <numFmt numFmtId="172" formatCode="_(* #,##0.000000000000000000000000_);_(* \(#,##0.000000000000000000000000\);_(* &quot;-&quot;??_);_(@_)"/>
    <numFmt numFmtId="173" formatCode="[$-409]dd\-mmm\-yy;@"/>
    <numFmt numFmtId="174" formatCode="_(* #,##0.000_);_(* \(#,##0.000\);_(* &quot;-&quot;??_);_(@_)"/>
    <numFmt numFmtId="175" formatCode="_(* #,##0.0_);_(* \(#,##0.0\);_(* &quot;-&quot;??_);_(@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0"/>
      <color theme="0"/>
      <name val="Arial"/>
      <family val="2"/>
    </font>
    <font>
      <sz val="12"/>
      <color rgb="FF000000"/>
      <name val="Times New Roman"/>
      <family val="1"/>
    </font>
    <font>
      <b/>
      <sz val="11"/>
      <color rgb="FF0000FF"/>
      <name val="Calibri"/>
      <family val="2"/>
      <scheme val="minor"/>
    </font>
    <font>
      <b/>
      <sz val="11"/>
      <color rgb="FF00B0F0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</font>
    <font>
      <sz val="13"/>
      <color rgb="FFFF0000"/>
      <name val="Times New Roman"/>
      <family val="1"/>
    </font>
    <font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sz val="13"/>
      <color rgb="FF0000FF"/>
      <name val="Times New Roman"/>
      <family val="1"/>
    </font>
    <font>
      <sz val="12"/>
      <color rgb="FF0000FF"/>
      <name val="Times New Roman"/>
      <family val="1"/>
    </font>
    <font>
      <sz val="11"/>
      <color rgb="FF0000FF"/>
      <name val="Calibri"/>
      <family val="2"/>
      <scheme val="minor"/>
    </font>
    <font>
      <sz val="13"/>
      <color theme="1"/>
      <name val="Times New Roman"/>
      <family val="1"/>
    </font>
    <font>
      <sz val="12"/>
      <color rgb="FF0070C0"/>
      <name val="Times New Roman"/>
      <family val="1"/>
    </font>
    <font>
      <sz val="13"/>
      <name val="Times New Roman"/>
      <family val="1"/>
    </font>
    <font>
      <sz val="13"/>
      <color theme="4" tint="-0.249977111117893"/>
      <name val="Times New Roman"/>
      <family val="1"/>
    </font>
    <font>
      <sz val="11"/>
      <name val="Calibri"/>
      <family val="2"/>
      <charset val="204"/>
      <scheme val="minor"/>
    </font>
    <font>
      <sz val="12"/>
      <color theme="4" tint="-0.249977111117893"/>
      <name val="Times New Roman"/>
      <family val="1"/>
    </font>
    <font>
      <sz val="12"/>
      <name val="Times New Roman"/>
      <family val="1"/>
    </font>
    <font>
      <sz val="13"/>
      <color rgb="FF0070C0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8">
    <xf numFmtId="0" fontId="0" fillId="0" borderId="0" xfId="0"/>
    <xf numFmtId="0" fontId="2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  <xf numFmtId="14" fontId="0" fillId="0" borderId="0" xfId="0" applyNumberFormat="1"/>
    <xf numFmtId="4" fontId="0" fillId="0" borderId="0" xfId="0" applyNumberFormat="1" applyAlignment="1">
      <alignment vertical="top"/>
    </xf>
    <xf numFmtId="0" fontId="3" fillId="4" borderId="1" xfId="0" applyFont="1" applyFill="1" applyBorder="1" applyAlignment="1">
      <alignment vertical="top"/>
    </xf>
    <xf numFmtId="0" fontId="0" fillId="4" borderId="1" xfId="0" applyFill="1" applyBorder="1" applyAlignment="1">
      <alignment vertical="top"/>
    </xf>
    <xf numFmtId="165" fontId="0" fillId="4" borderId="1" xfId="0" applyNumberFormat="1" applyFill="1" applyBorder="1" applyAlignment="1">
      <alignment vertical="top"/>
    </xf>
    <xf numFmtId="43" fontId="0" fillId="4" borderId="1" xfId="0" applyNumberFormat="1" applyFill="1" applyBorder="1" applyAlignment="1">
      <alignment vertical="top"/>
    </xf>
    <xf numFmtId="166" fontId="0" fillId="0" borderId="0" xfId="0" applyNumberFormat="1" applyAlignment="1">
      <alignment vertical="top"/>
    </xf>
    <xf numFmtId="167" fontId="0" fillId="0" borderId="1" xfId="0" applyNumberFormat="1" applyBorder="1" applyAlignment="1">
      <alignment vertical="top"/>
    </xf>
    <xf numFmtId="167" fontId="0" fillId="0" borderId="0" xfId="0" applyNumberFormat="1" applyAlignment="1">
      <alignment vertical="top"/>
    </xf>
    <xf numFmtId="43" fontId="0" fillId="0" borderId="1" xfId="0" applyNumberFormat="1" applyBorder="1" applyAlignment="1">
      <alignment vertical="top"/>
    </xf>
    <xf numFmtId="0" fontId="4" fillId="6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/>
    </xf>
    <xf numFmtId="165" fontId="4" fillId="6" borderId="1" xfId="1" applyNumberFormat="1" applyFont="1" applyFill="1" applyBorder="1" applyAlignment="1">
      <alignment vertical="top" wrapText="1"/>
    </xf>
    <xf numFmtId="165" fontId="4" fillId="6" borderId="0" xfId="1" applyNumberFormat="1" applyFont="1" applyFill="1" applyBorder="1" applyAlignment="1">
      <alignment vertical="top" wrapText="1"/>
    </xf>
    <xf numFmtId="0" fontId="0" fillId="0" borderId="0" xfId="0" applyAlignment="1">
      <alignment horizontal="center" vertical="center" wrapText="1"/>
    </xf>
    <xf numFmtId="14" fontId="0" fillId="5" borderId="0" xfId="0" applyNumberFormat="1" applyFill="1" applyAlignment="1">
      <alignment vertical="top"/>
    </xf>
    <xf numFmtId="37" fontId="0" fillId="7" borderId="0" xfId="0" applyNumberFormat="1" applyFill="1" applyAlignment="1">
      <alignment vertical="top"/>
    </xf>
    <xf numFmtId="43" fontId="0" fillId="7" borderId="1" xfId="0" applyNumberFormat="1" applyFill="1" applyBorder="1" applyAlignment="1">
      <alignment vertical="top"/>
    </xf>
    <xf numFmtId="168" fontId="0" fillId="7" borderId="1" xfId="0" applyNumberFormat="1" applyFill="1" applyBorder="1" applyAlignment="1">
      <alignment vertical="top"/>
    </xf>
    <xf numFmtId="169" fontId="0" fillId="0" borderId="0" xfId="0" applyNumberFormat="1" applyAlignment="1">
      <alignment vertical="top"/>
    </xf>
    <xf numFmtId="170" fontId="0" fillId="0" borderId="0" xfId="2" applyNumberFormat="1" applyFont="1" applyFill="1" applyAlignment="1">
      <alignment vertical="top"/>
    </xf>
    <xf numFmtId="2" fontId="0" fillId="0" borderId="0" xfId="0" applyNumberFormat="1" applyAlignment="1">
      <alignment vertical="top"/>
    </xf>
    <xf numFmtId="43" fontId="0" fillId="0" borderId="0" xfId="0" applyNumberFormat="1" applyAlignment="1">
      <alignment vertical="top"/>
    </xf>
    <xf numFmtId="14" fontId="0" fillId="8" borderId="1" xfId="0" applyNumberFormat="1" applyFill="1" applyBorder="1" applyAlignment="1">
      <alignment vertical="top"/>
    </xf>
    <xf numFmtId="37" fontId="0" fillId="0" borderId="0" xfId="0" applyNumberFormat="1" applyAlignment="1">
      <alignment vertical="top"/>
    </xf>
    <xf numFmtId="171" fontId="0" fillId="0" borderId="1" xfId="0" applyNumberFormat="1" applyBorder="1" applyAlignment="1">
      <alignment vertical="top"/>
    </xf>
    <xf numFmtId="14" fontId="0" fillId="5" borderId="1" xfId="0" applyNumberFormat="1" applyFill="1" applyBorder="1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164" fontId="0" fillId="0" borderId="0" xfId="1" applyFont="1" applyAlignment="1">
      <alignment vertical="top"/>
    </xf>
    <xf numFmtId="0" fontId="0" fillId="0" borderId="0" xfId="0" applyAlignment="1">
      <alignment horizontal="right" vertical="top"/>
    </xf>
    <xf numFmtId="166" fontId="0" fillId="7" borderId="0" xfId="0" applyNumberFormat="1" applyFill="1" applyAlignment="1">
      <alignment vertical="top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top"/>
    </xf>
    <xf numFmtId="14" fontId="7" fillId="0" borderId="0" xfId="0" applyNumberFormat="1" applyFont="1" applyAlignment="1">
      <alignment vertical="top"/>
    </xf>
    <xf numFmtId="43" fontId="0" fillId="3" borderId="1" xfId="3" applyFont="1" applyFill="1" applyBorder="1" applyAlignment="1">
      <alignment vertical="top"/>
    </xf>
    <xf numFmtId="165" fontId="0" fillId="0" borderId="0" xfId="3" applyNumberFormat="1" applyFont="1" applyFill="1" applyBorder="1" applyAlignment="1">
      <alignment vertical="top"/>
    </xf>
    <xf numFmtId="165" fontId="3" fillId="0" borderId="0" xfId="0" applyNumberFormat="1" applyFont="1" applyAlignment="1">
      <alignment vertical="top"/>
    </xf>
    <xf numFmtId="172" fontId="0" fillId="0" borderId="0" xfId="0" applyNumberFormat="1" applyAlignment="1">
      <alignment vertical="top"/>
    </xf>
    <xf numFmtId="173" fontId="0" fillId="0" borderId="0" xfId="0" applyNumberFormat="1"/>
    <xf numFmtId="14" fontId="0" fillId="0" borderId="1" xfId="0" applyNumberFormat="1" applyBorder="1"/>
    <xf numFmtId="164" fontId="0" fillId="0" borderId="0" xfId="1" applyFont="1"/>
    <xf numFmtId="166" fontId="0" fillId="0" borderId="0" xfId="0" applyNumberFormat="1"/>
    <xf numFmtId="0" fontId="9" fillId="0" borderId="0" xfId="0" applyFont="1" applyAlignment="1">
      <alignment horizontal="center"/>
    </xf>
    <xf numFmtId="174" fontId="0" fillId="0" borderId="0" xfId="0" applyNumberFormat="1"/>
    <xf numFmtId="175" fontId="0" fillId="0" borderId="0" xfId="0" applyNumberFormat="1"/>
    <xf numFmtId="165" fontId="0" fillId="0" borderId="0" xfId="0" applyNumberFormat="1"/>
    <xf numFmtId="165" fontId="4" fillId="6" borderId="1" xfId="3" applyNumberFormat="1" applyFont="1" applyFill="1" applyBorder="1" applyAlignment="1">
      <alignment vertical="top" wrapText="1"/>
    </xf>
    <xf numFmtId="165" fontId="4" fillId="6" borderId="0" xfId="3" applyNumberFormat="1" applyFont="1" applyFill="1" applyBorder="1" applyAlignment="1">
      <alignment vertical="top" wrapText="1"/>
    </xf>
    <xf numFmtId="43" fontId="0" fillId="7" borderId="0" xfId="3" applyFont="1" applyFill="1" applyAlignment="1">
      <alignment vertical="top"/>
    </xf>
    <xf numFmtId="43" fontId="0" fillId="7" borderId="1" xfId="3" applyFont="1" applyFill="1" applyBorder="1" applyAlignment="1">
      <alignment vertical="top"/>
    </xf>
    <xf numFmtId="14" fontId="9" fillId="11" borderId="0" xfId="0" applyNumberFormat="1" applyFont="1" applyFill="1" applyAlignment="1">
      <alignment vertical="top"/>
    </xf>
    <xf numFmtId="43" fontId="0" fillId="11" borderId="0" xfId="3" applyFont="1" applyFill="1" applyAlignment="1">
      <alignment vertical="top"/>
    </xf>
    <xf numFmtId="0" fontId="0" fillId="11" borderId="0" xfId="3" applyNumberFormat="1" applyFont="1" applyFill="1" applyAlignment="1">
      <alignment vertical="top"/>
    </xf>
    <xf numFmtId="37" fontId="0" fillId="11" borderId="0" xfId="0" applyNumberFormat="1" applyFill="1" applyAlignment="1">
      <alignment vertical="top"/>
    </xf>
    <xf numFmtId="43" fontId="0" fillId="11" borderId="1" xfId="0" applyNumberFormat="1" applyFill="1" applyBorder="1" applyAlignment="1">
      <alignment vertical="top"/>
    </xf>
    <xf numFmtId="43" fontId="0" fillId="11" borderId="1" xfId="3" applyFont="1" applyFill="1" applyBorder="1" applyAlignment="1">
      <alignment vertical="top"/>
    </xf>
    <xf numFmtId="168" fontId="0" fillId="11" borderId="1" xfId="0" applyNumberFormat="1" applyFill="1" applyBorder="1" applyAlignment="1">
      <alignment vertical="top"/>
    </xf>
    <xf numFmtId="43" fontId="0" fillId="0" borderId="0" xfId="3" applyFont="1" applyFill="1" applyAlignment="1">
      <alignment vertical="top"/>
    </xf>
    <xf numFmtId="0" fontId="0" fillId="0" borderId="0" xfId="3" applyNumberFormat="1" applyFont="1" applyFill="1" applyAlignment="1">
      <alignment vertical="top"/>
    </xf>
    <xf numFmtId="168" fontId="0" fillId="0" borderId="1" xfId="0" applyNumberFormat="1" applyBorder="1" applyAlignment="1">
      <alignment vertical="top"/>
    </xf>
    <xf numFmtId="43" fontId="0" fillId="0" borderId="0" xfId="3" applyFont="1" applyFill="1" applyBorder="1" applyAlignment="1">
      <alignment vertical="top"/>
    </xf>
    <xf numFmtId="43" fontId="2" fillId="0" borderId="0" xfId="3" applyFont="1" applyFill="1" applyAlignment="1">
      <alignment vertical="top"/>
    </xf>
    <xf numFmtId="43" fontId="0" fillId="0" borderId="1" xfId="3" applyFont="1" applyFill="1" applyBorder="1" applyAlignment="1">
      <alignment vertical="top"/>
    </xf>
    <xf numFmtId="43" fontId="0" fillId="0" borderId="0" xfId="3" applyFont="1" applyAlignment="1">
      <alignment horizontal="center" vertical="center"/>
    </xf>
    <xf numFmtId="43" fontId="0" fillId="0" borderId="0" xfId="3" applyFont="1" applyFill="1" applyAlignment="1">
      <alignment horizontal="center" vertical="center"/>
    </xf>
    <xf numFmtId="0" fontId="10" fillId="12" borderId="2" xfId="0" applyFont="1" applyFill="1" applyBorder="1" applyAlignment="1">
      <alignment vertical="top" wrapText="1"/>
    </xf>
    <xf numFmtId="0" fontId="11" fillId="12" borderId="2" xfId="0" applyFont="1" applyFill="1" applyBorder="1" applyAlignment="1">
      <alignment vertical="top" wrapText="1"/>
    </xf>
    <xf numFmtId="0" fontId="12" fillId="12" borderId="2" xfId="0" applyFont="1" applyFill="1" applyBorder="1" applyAlignment="1">
      <alignment vertical="top" wrapText="1"/>
    </xf>
    <xf numFmtId="0" fontId="10" fillId="12" borderId="2" xfId="0" applyFont="1" applyFill="1" applyBorder="1" applyAlignment="1">
      <alignment horizontal="center" vertical="top" wrapText="1"/>
    </xf>
    <xf numFmtId="43" fontId="8" fillId="12" borderId="0" xfId="0" applyNumberFormat="1" applyFont="1" applyFill="1" applyAlignment="1">
      <alignment vertical="top"/>
    </xf>
    <xf numFmtId="0" fontId="0" fillId="12" borderId="0" xfId="0" applyFill="1" applyAlignment="1">
      <alignment vertical="top"/>
    </xf>
    <xf numFmtId="0" fontId="5" fillId="0" borderId="3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0" fontId="10" fillId="13" borderId="6" xfId="0" applyFont="1" applyFill="1" applyBorder="1" applyAlignment="1">
      <alignment vertical="top" wrapText="1"/>
    </xf>
    <xf numFmtId="0" fontId="10" fillId="13" borderId="6" xfId="0" applyFont="1" applyFill="1" applyBorder="1" applyAlignment="1">
      <alignment horizontal="right" vertical="top" wrapText="1"/>
    </xf>
    <xf numFmtId="0" fontId="10" fillId="13" borderId="6" xfId="0" applyFont="1" applyFill="1" applyBorder="1" applyAlignment="1">
      <alignment horizontal="center" vertical="top" wrapText="1"/>
    </xf>
    <xf numFmtId="0" fontId="0" fillId="13" borderId="0" xfId="0" applyFill="1" applyAlignment="1">
      <alignment vertical="top"/>
    </xf>
    <xf numFmtId="43" fontId="0" fillId="13" borderId="0" xfId="0" applyNumberFormat="1" applyFill="1" applyAlignment="1">
      <alignment vertical="top"/>
    </xf>
    <xf numFmtId="0" fontId="5" fillId="0" borderId="7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vertical="center" wrapText="1"/>
    </xf>
    <xf numFmtId="0" fontId="10" fillId="0" borderId="7" xfId="0" applyFont="1" applyBorder="1" applyAlignment="1">
      <alignment vertical="top" wrapText="1"/>
    </xf>
    <xf numFmtId="0" fontId="13" fillId="0" borderId="7" xfId="0" applyFont="1" applyBorder="1" applyAlignment="1">
      <alignment vertical="top" wrapText="1"/>
    </xf>
    <xf numFmtId="0" fontId="13" fillId="0" borderId="7" xfId="0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4" fillId="12" borderId="2" xfId="0" applyFont="1" applyFill="1" applyBorder="1" applyAlignment="1">
      <alignment vertical="top" wrapText="1"/>
    </xf>
    <xf numFmtId="0" fontId="15" fillId="12" borderId="2" xfId="0" applyFont="1" applyFill="1" applyBorder="1" applyAlignment="1">
      <alignment vertical="top" wrapText="1"/>
    </xf>
    <xf numFmtId="0" fontId="15" fillId="12" borderId="2" xfId="0" applyFont="1" applyFill="1" applyBorder="1" applyAlignment="1">
      <alignment horizontal="center" vertical="top" wrapText="1"/>
    </xf>
    <xf numFmtId="43" fontId="16" fillId="12" borderId="0" xfId="0" applyNumberFormat="1" applyFont="1" applyFill="1" applyAlignment="1">
      <alignment vertical="top"/>
    </xf>
    <xf numFmtId="0" fontId="10" fillId="0" borderId="7" xfId="0" applyFont="1" applyBorder="1" applyAlignment="1">
      <alignment vertical="center" wrapText="1"/>
    </xf>
    <xf numFmtId="0" fontId="12" fillId="13" borderId="6" xfId="0" applyFont="1" applyFill="1" applyBorder="1" applyAlignment="1">
      <alignment horizontal="right" vertical="top" wrapText="1"/>
    </xf>
    <xf numFmtId="0" fontId="12" fillId="13" borderId="6" xfId="0" applyFont="1" applyFill="1" applyBorder="1" applyAlignment="1">
      <alignment vertical="top" wrapText="1"/>
    </xf>
    <xf numFmtId="43" fontId="8" fillId="13" borderId="0" xfId="3" applyFont="1" applyFill="1" applyAlignment="1">
      <alignment vertical="top"/>
    </xf>
    <xf numFmtId="0" fontId="10" fillId="12" borderId="6" xfId="0" applyFont="1" applyFill="1" applyBorder="1" applyAlignment="1">
      <alignment vertical="top" wrapText="1"/>
    </xf>
    <xf numFmtId="0" fontId="10" fillId="12" borderId="6" xfId="0" applyFont="1" applyFill="1" applyBorder="1" applyAlignment="1">
      <alignment horizontal="center" vertical="top" wrapText="1"/>
    </xf>
    <xf numFmtId="43" fontId="0" fillId="12" borderId="0" xfId="0" applyNumberFormat="1" applyFill="1" applyAlignment="1">
      <alignment vertical="top"/>
    </xf>
    <xf numFmtId="0" fontId="11" fillId="13" borderId="6" xfId="0" applyFont="1" applyFill="1" applyBorder="1" applyAlignment="1">
      <alignment vertical="top" wrapText="1"/>
    </xf>
    <xf numFmtId="43" fontId="8" fillId="13" borderId="0" xfId="0" applyNumberFormat="1" applyFont="1" applyFill="1" applyAlignment="1">
      <alignment vertical="top"/>
    </xf>
    <xf numFmtId="0" fontId="13" fillId="0" borderId="7" xfId="0" applyFont="1" applyBorder="1" applyAlignment="1">
      <alignment horizontal="center" vertical="top" wrapText="1"/>
    </xf>
    <xf numFmtId="0" fontId="13" fillId="0" borderId="7" xfId="0" applyFont="1" applyBorder="1" applyAlignment="1">
      <alignment horizontal="center" vertical="center" wrapText="1"/>
    </xf>
    <xf numFmtId="0" fontId="11" fillId="12" borderId="6" xfId="0" applyFont="1" applyFill="1" applyBorder="1" applyAlignment="1">
      <alignment vertical="top" wrapText="1"/>
    </xf>
    <xf numFmtId="0" fontId="10" fillId="13" borderId="5" xfId="0" applyFont="1" applyFill="1" applyBorder="1" applyAlignment="1">
      <alignment vertical="top" wrapText="1"/>
    </xf>
    <xf numFmtId="0" fontId="11" fillId="13" borderId="5" xfId="0" applyFont="1" applyFill="1" applyBorder="1" applyAlignment="1">
      <alignment vertical="top" wrapText="1"/>
    </xf>
    <xf numFmtId="0" fontId="14" fillId="13" borderId="5" xfId="0" applyFont="1" applyFill="1" applyBorder="1" applyAlignment="1">
      <alignment vertical="top" wrapText="1"/>
    </xf>
    <xf numFmtId="0" fontId="15" fillId="13" borderId="9" xfId="0" applyFont="1" applyFill="1" applyBorder="1" applyAlignment="1">
      <alignment horizontal="center" vertical="center" wrapText="1"/>
    </xf>
    <xf numFmtId="43" fontId="16" fillId="13" borderId="0" xfId="0" applyNumberFormat="1" applyFont="1" applyFill="1" applyAlignment="1">
      <alignment vertical="top"/>
    </xf>
    <xf numFmtId="43" fontId="16" fillId="5" borderId="0" xfId="0" applyNumberFormat="1" applyFont="1" applyFill="1" applyAlignment="1">
      <alignment vertical="top"/>
    </xf>
    <xf numFmtId="0" fontId="5" fillId="0" borderId="10" xfId="0" applyFont="1" applyBorder="1" applyAlignment="1">
      <alignment vertical="center" wrapText="1"/>
    </xf>
    <xf numFmtId="0" fontId="10" fillId="0" borderId="10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2" xfId="0" applyFont="1" applyBorder="1" applyAlignment="1">
      <alignment vertical="center" wrapText="1"/>
    </xf>
    <xf numFmtId="0" fontId="10" fillId="13" borderId="8" xfId="0" applyFont="1" applyFill="1" applyBorder="1" applyAlignment="1">
      <alignment vertical="top" wrapText="1"/>
    </xf>
    <xf numFmtId="0" fontId="17" fillId="13" borderId="8" xfId="0" applyFont="1" applyFill="1" applyBorder="1" applyAlignment="1">
      <alignment vertical="top" wrapText="1"/>
    </xf>
    <xf numFmtId="0" fontId="10" fillId="13" borderId="6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vertical="center" wrapText="1"/>
    </xf>
    <xf numFmtId="0" fontId="10" fillId="0" borderId="13" xfId="0" applyFont="1" applyBorder="1" applyAlignment="1">
      <alignment vertical="center" wrapText="1"/>
    </xf>
    <xf numFmtId="0" fontId="12" fillId="12" borderId="6" xfId="0" applyFont="1" applyFill="1" applyBorder="1" applyAlignment="1">
      <alignment vertical="top" wrapText="1"/>
    </xf>
    <xf numFmtId="166" fontId="10" fillId="0" borderId="4" xfId="0" applyNumberFormat="1" applyFont="1" applyBorder="1" applyAlignment="1">
      <alignment vertical="center" wrapText="1"/>
    </xf>
    <xf numFmtId="0" fontId="15" fillId="13" borderId="5" xfId="0" applyFont="1" applyFill="1" applyBorder="1" applyAlignment="1">
      <alignment vertical="top" wrapText="1"/>
    </xf>
    <xf numFmtId="0" fontId="18" fillId="13" borderId="6" xfId="0" applyFont="1" applyFill="1" applyBorder="1" applyAlignment="1">
      <alignment horizontal="right" vertical="top" wrapText="1"/>
    </xf>
    <xf numFmtId="0" fontId="19" fillId="13" borderId="6" xfId="0" applyFont="1" applyFill="1" applyBorder="1" applyAlignment="1">
      <alignment vertical="top" wrapText="1"/>
    </xf>
    <xf numFmtId="0" fontId="20" fillId="12" borderId="2" xfId="0" applyFont="1" applyFill="1" applyBorder="1" applyAlignment="1">
      <alignment vertical="top" wrapText="1"/>
    </xf>
    <xf numFmtId="43" fontId="21" fillId="12" borderId="0" xfId="0" applyNumberFormat="1" applyFont="1" applyFill="1" applyAlignment="1">
      <alignment vertical="top"/>
    </xf>
    <xf numFmtId="0" fontId="22" fillId="13" borderId="6" xfId="0" applyFont="1" applyFill="1" applyBorder="1" applyAlignment="1">
      <alignment horizontal="right" vertical="top" wrapText="1"/>
    </xf>
    <xf numFmtId="0" fontId="19" fillId="12" borderId="2" xfId="0" applyFont="1" applyFill="1" applyBorder="1" applyAlignment="1">
      <alignment vertical="top" wrapText="1"/>
    </xf>
    <xf numFmtId="0" fontId="23" fillId="12" borderId="2" xfId="0" applyFont="1" applyFill="1" applyBorder="1" applyAlignment="1">
      <alignment vertical="top" wrapText="1"/>
    </xf>
    <xf numFmtId="0" fontId="23" fillId="12" borderId="2" xfId="0" applyFont="1" applyFill="1" applyBorder="1" applyAlignment="1">
      <alignment horizontal="center" vertical="top" wrapText="1"/>
    </xf>
    <xf numFmtId="43" fontId="3" fillId="5" borderId="0" xfId="0" applyNumberFormat="1" applyFont="1" applyFill="1" applyAlignment="1">
      <alignment vertical="top"/>
    </xf>
    <xf numFmtId="0" fontId="0" fillId="9" borderId="0" xfId="0" applyFill="1" applyAlignment="1">
      <alignment vertical="top"/>
    </xf>
    <xf numFmtId="43" fontId="0" fillId="0" borderId="0" xfId="3" applyFont="1" applyAlignment="1">
      <alignment vertical="top"/>
    </xf>
    <xf numFmtId="0" fontId="10" fillId="0" borderId="0" xfId="0" applyFont="1" applyAlignment="1">
      <alignment vertical="center" wrapText="1"/>
    </xf>
    <xf numFmtId="43" fontId="0" fillId="9" borderId="0" xfId="0" applyNumberFormat="1" applyFill="1" applyAlignment="1">
      <alignment vertical="top"/>
    </xf>
    <xf numFmtId="0" fontId="24" fillId="12" borderId="2" xfId="0" applyFont="1" applyFill="1" applyBorder="1" applyAlignment="1">
      <alignment vertical="top" wrapText="1"/>
    </xf>
    <xf numFmtId="43" fontId="3" fillId="4" borderId="0" xfId="0" applyNumberFormat="1" applyFont="1" applyFill="1" applyAlignment="1">
      <alignment vertical="top"/>
    </xf>
    <xf numFmtId="0" fontId="10" fillId="0" borderId="0" xfId="0" applyFont="1" applyAlignment="1">
      <alignment horizontal="center" vertical="center" wrapText="1"/>
    </xf>
    <xf numFmtId="43" fontId="0" fillId="10" borderId="0" xfId="0" applyNumberFormat="1" applyFill="1" applyAlignment="1">
      <alignment vertical="top"/>
    </xf>
  </cellXfs>
  <cellStyles count="4">
    <cellStyle name="Comma 2" xfId="3" xr:uid="{069FC985-A3B7-47EE-AD5D-F9D3ED4340EF}"/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0"/>
  <sheetViews>
    <sheetView tabSelected="1" workbookViewId="0">
      <selection activeCell="I19" sqref="I19"/>
    </sheetView>
  </sheetViews>
  <sheetFormatPr defaultRowHeight="15" x14ac:dyDescent="0.25"/>
  <cols>
    <col min="1" max="1" width="23.7109375" customWidth="1"/>
    <col min="2" max="2" width="17.42578125" customWidth="1"/>
    <col min="3" max="3" width="16.7109375" customWidth="1"/>
    <col min="4" max="4" width="17.140625" customWidth="1"/>
    <col min="6" max="6" width="28.28515625" customWidth="1"/>
    <col min="8" max="8" width="15" customWidth="1"/>
    <col min="9" max="9" width="15.28515625" customWidth="1"/>
    <col min="10" max="10" width="26.28515625" customWidth="1"/>
    <col min="11" max="11" width="14.42578125" customWidth="1"/>
    <col min="12" max="12" width="30" customWidth="1"/>
    <col min="15" max="15" width="27.5703125" customWidth="1"/>
    <col min="18" max="18" width="17.28515625" customWidth="1"/>
    <col min="19" max="19" width="20.85546875" customWidth="1"/>
    <col min="20" max="20" width="29.5703125" customWidth="1"/>
  </cols>
  <sheetData>
    <row r="1" spans="1:14" x14ac:dyDescent="0.25">
      <c r="A1" s="1" t="s">
        <v>0</v>
      </c>
      <c r="B1" s="2"/>
      <c r="C1" s="3"/>
      <c r="D1" s="4" t="s">
        <v>1</v>
      </c>
      <c r="E1" s="3"/>
      <c r="G1" s="3"/>
      <c r="K1" s="3"/>
      <c r="L1" s="3"/>
      <c r="M1" s="3"/>
      <c r="N1" s="3"/>
    </row>
    <row r="2" spans="1:14" x14ac:dyDescent="0.25">
      <c r="A2" s="1" t="s">
        <v>2</v>
      </c>
      <c r="B2" s="2"/>
      <c r="C2" s="3"/>
      <c r="D2" s="5">
        <v>46234</v>
      </c>
      <c r="E2" s="3"/>
      <c r="G2" s="3"/>
      <c r="K2" s="3"/>
      <c r="L2" s="3"/>
      <c r="M2" s="3"/>
      <c r="N2" s="3"/>
    </row>
    <row r="3" spans="1:14" x14ac:dyDescent="0.25">
      <c r="A3" s="1" t="s">
        <v>3</v>
      </c>
      <c r="B3" s="40">
        <v>137000000</v>
      </c>
      <c r="C3" s="41"/>
      <c r="D3" s="5">
        <v>46418</v>
      </c>
      <c r="E3" s="6"/>
      <c r="G3" s="6"/>
      <c r="K3" s="3"/>
      <c r="L3" s="3"/>
      <c r="M3" s="3"/>
      <c r="N3" s="3"/>
    </row>
    <row r="4" spans="1:14" x14ac:dyDescent="0.25">
      <c r="A4" s="1" t="s">
        <v>4</v>
      </c>
      <c r="B4" s="7">
        <v>99.86328125</v>
      </c>
      <c r="C4" s="42"/>
      <c r="D4" s="5">
        <v>46599</v>
      </c>
      <c r="E4" s="6"/>
      <c r="G4" s="43"/>
      <c r="K4" s="3"/>
      <c r="L4" s="3"/>
      <c r="M4" s="3"/>
      <c r="N4" s="3"/>
    </row>
    <row r="5" spans="1:14" x14ac:dyDescent="0.25">
      <c r="A5" s="1" t="s">
        <v>5</v>
      </c>
      <c r="B5" s="8">
        <v>4</v>
      </c>
      <c r="C5" s="3"/>
      <c r="D5" s="5">
        <v>46783</v>
      </c>
      <c r="E5" s="6"/>
      <c r="G5" s="3"/>
      <c r="K5" s="3"/>
      <c r="L5" s="3"/>
      <c r="M5" s="3"/>
      <c r="N5" s="3"/>
    </row>
    <row r="6" spans="1:14" x14ac:dyDescent="0.25">
      <c r="A6" s="1" t="s">
        <v>6</v>
      </c>
      <c r="B6" s="9">
        <f>($B$3*($B$5/2/100))</f>
        <v>2740000</v>
      </c>
      <c r="C6" s="3"/>
      <c r="D6" s="5">
        <v>46965</v>
      </c>
      <c r="E6" s="6"/>
      <c r="G6" s="3"/>
      <c r="K6" s="3"/>
      <c r="L6" s="3"/>
      <c r="M6" s="3"/>
      <c r="N6" s="3"/>
    </row>
    <row r="7" spans="1:14" x14ac:dyDescent="0.25">
      <c r="A7" s="1" t="s">
        <v>7</v>
      </c>
      <c r="B7" s="10">
        <f>(B9-B10)/(B11-B10)*(B3*B5/2/100)</f>
        <v>1559226.5193370166</v>
      </c>
      <c r="C7" s="11"/>
      <c r="D7" s="5">
        <v>47149</v>
      </c>
      <c r="E7" s="6"/>
      <c r="G7" s="3"/>
      <c r="K7" s="3"/>
      <c r="L7" s="3"/>
      <c r="M7" s="3"/>
      <c r="N7" s="3"/>
    </row>
    <row r="8" spans="1:14" x14ac:dyDescent="0.25">
      <c r="A8" s="1" t="s">
        <v>8</v>
      </c>
      <c r="B8" s="8">
        <v>180</v>
      </c>
      <c r="C8" s="3"/>
      <c r="D8" s="5">
        <v>47330</v>
      </c>
      <c r="E8" s="6"/>
      <c r="G8" s="3"/>
      <c r="K8" s="3"/>
      <c r="L8" s="3"/>
      <c r="M8" s="3"/>
      <c r="N8" s="3"/>
    </row>
    <row r="9" spans="1:14" x14ac:dyDescent="0.25">
      <c r="A9" s="1" t="s">
        <v>9</v>
      </c>
      <c r="B9" s="12">
        <v>46156</v>
      </c>
      <c r="C9" s="13"/>
      <c r="D9" s="5"/>
      <c r="E9" s="6"/>
      <c r="F9" s="3"/>
      <c r="G9" s="3"/>
      <c r="H9" s="3"/>
      <c r="I9" s="3"/>
      <c r="J9" s="3"/>
      <c r="K9" s="3"/>
      <c r="L9" s="3"/>
      <c r="M9" s="3"/>
      <c r="N9" s="3"/>
    </row>
    <row r="10" spans="1:14" x14ac:dyDescent="0.25">
      <c r="A10" s="1" t="s">
        <v>10</v>
      </c>
      <c r="B10" s="12">
        <v>46053</v>
      </c>
      <c r="C10" s="13"/>
      <c r="D10" s="5"/>
      <c r="E10" s="6"/>
      <c r="G10" s="3"/>
      <c r="I10" s="44"/>
      <c r="J10" s="44"/>
      <c r="K10" s="3"/>
      <c r="L10" s="3"/>
      <c r="M10" s="3"/>
      <c r="N10" s="3"/>
    </row>
    <row r="11" spans="1:14" x14ac:dyDescent="0.25">
      <c r="A11" s="1" t="s">
        <v>11</v>
      </c>
      <c r="B11" s="45">
        <f>D2</f>
        <v>46234</v>
      </c>
      <c r="C11" s="13"/>
      <c r="D11" s="5"/>
      <c r="E11" s="6"/>
      <c r="G11" s="3"/>
      <c r="I11" s="44"/>
      <c r="J11" s="44"/>
      <c r="K11" s="11"/>
      <c r="L11" s="3"/>
      <c r="M11" s="3"/>
      <c r="N11" s="3"/>
    </row>
    <row r="12" spans="1:14" x14ac:dyDescent="0.25">
      <c r="A12" s="1" t="s">
        <v>12</v>
      </c>
      <c r="B12" s="45">
        <v>47330</v>
      </c>
      <c r="C12" s="13"/>
      <c r="D12" s="13"/>
      <c r="E12" s="3"/>
      <c r="G12" s="3"/>
      <c r="I12" s="44"/>
      <c r="J12" s="44"/>
      <c r="K12" s="3"/>
      <c r="L12" s="3"/>
      <c r="M12" s="3"/>
      <c r="N12" s="3"/>
    </row>
    <row r="13" spans="1:14" x14ac:dyDescent="0.25">
      <c r="A13" s="1" t="s">
        <v>13</v>
      </c>
      <c r="B13" s="14">
        <f>IF(B4&lt;100,ROUND((($B$4/100)-1)*$B$3,2),0)</f>
        <v>-187304.69</v>
      </c>
      <c r="C13" s="27"/>
      <c r="D13" s="27"/>
      <c r="E13" s="3"/>
      <c r="G13" s="3"/>
      <c r="K13" s="3"/>
      <c r="L13" s="46"/>
      <c r="M13" s="11"/>
      <c r="N13" s="3"/>
    </row>
    <row r="14" spans="1:14" x14ac:dyDescent="0.25">
      <c r="A14" s="1" t="s">
        <v>14</v>
      </c>
      <c r="B14" s="14">
        <f>IF(B4&gt;=100,ROUND((($B$4/100)-1)*$B$3,2),0)</f>
        <v>0</v>
      </c>
      <c r="C14" s="27"/>
      <c r="D14" s="27"/>
      <c r="E14" s="3"/>
      <c r="G14" s="3"/>
      <c r="K14" s="3"/>
      <c r="L14" s="46"/>
      <c r="M14" s="3"/>
      <c r="N14" s="3"/>
    </row>
    <row r="15" spans="1:14" x14ac:dyDescent="0.25">
      <c r="A15" s="3"/>
      <c r="B15" s="3"/>
      <c r="C15" s="3"/>
      <c r="D15" s="3"/>
      <c r="E15" s="3"/>
      <c r="G15" s="3"/>
      <c r="K15" s="3"/>
      <c r="L15" s="46"/>
      <c r="M15" s="3"/>
      <c r="N15" s="3"/>
    </row>
    <row r="16" spans="1:14" x14ac:dyDescent="0.25">
      <c r="A16" s="1" t="s">
        <v>0</v>
      </c>
      <c r="B16" s="2"/>
      <c r="C16" s="3"/>
      <c r="D16" s="4" t="s">
        <v>1</v>
      </c>
      <c r="E16" s="3"/>
      <c r="G16" s="3"/>
      <c r="K16" s="3"/>
      <c r="L16" s="47"/>
      <c r="M16" s="11"/>
      <c r="N16" s="3"/>
    </row>
    <row r="17" spans="1:26" x14ac:dyDescent="0.25">
      <c r="A17" s="1" t="s">
        <v>2</v>
      </c>
      <c r="B17" s="2"/>
      <c r="C17" s="3"/>
      <c r="D17" s="5">
        <v>46234</v>
      </c>
      <c r="E17" s="3"/>
      <c r="F17" s="48"/>
      <c r="G17" s="48"/>
      <c r="H17" s="48"/>
      <c r="I17" s="48"/>
      <c r="K17" s="3"/>
      <c r="L17" s="3"/>
      <c r="M17" s="3"/>
      <c r="N17" s="3"/>
    </row>
    <row r="18" spans="1:26" x14ac:dyDescent="0.25">
      <c r="A18" s="1" t="s">
        <v>3</v>
      </c>
      <c r="B18" s="40">
        <v>5900000</v>
      </c>
      <c r="C18" s="41"/>
      <c r="D18" s="5">
        <v>46418</v>
      </c>
      <c r="E18" s="6"/>
      <c r="F18" s="49"/>
      <c r="G18" s="6"/>
      <c r="H18" s="50"/>
      <c r="K18" s="3"/>
      <c r="L18" s="3"/>
      <c r="M18" s="3"/>
      <c r="N18" s="3"/>
    </row>
    <row r="19" spans="1:26" x14ac:dyDescent="0.25">
      <c r="A19" s="1" t="s">
        <v>4</v>
      </c>
      <c r="B19" s="7">
        <v>99.640625</v>
      </c>
      <c r="C19" s="42"/>
      <c r="D19" s="5">
        <v>46599</v>
      </c>
      <c r="E19" s="6"/>
      <c r="G19" s="43"/>
      <c r="K19" s="3"/>
      <c r="L19" s="3"/>
      <c r="M19" s="3"/>
      <c r="N19" s="3"/>
    </row>
    <row r="20" spans="1:26" x14ac:dyDescent="0.25">
      <c r="A20" s="1" t="s">
        <v>5</v>
      </c>
      <c r="B20" s="8">
        <v>4</v>
      </c>
      <c r="C20" s="3"/>
      <c r="D20" s="5">
        <v>46783</v>
      </c>
      <c r="E20" s="6"/>
      <c r="F20" s="48"/>
      <c r="G20" s="48"/>
      <c r="K20" s="3"/>
      <c r="L20" s="3"/>
      <c r="M20" s="3"/>
      <c r="N20" s="3"/>
    </row>
    <row r="21" spans="1:26" x14ac:dyDescent="0.25">
      <c r="A21" s="1" t="s">
        <v>6</v>
      </c>
      <c r="B21" s="9">
        <f>($B$18*($B$20/2/100))</f>
        <v>118000</v>
      </c>
      <c r="C21" s="3"/>
      <c r="D21" s="5">
        <v>46965</v>
      </c>
      <c r="E21" s="6"/>
      <c r="F21" s="51"/>
      <c r="G21" s="3"/>
      <c r="K21" s="3"/>
      <c r="L21" s="3"/>
      <c r="M21" s="3"/>
      <c r="N21" s="3"/>
    </row>
    <row r="22" spans="1:26" x14ac:dyDescent="0.25">
      <c r="A22" s="1" t="s">
        <v>7</v>
      </c>
      <c r="B22" s="10">
        <f>(B24-B25)/(B26-B25)*(B18*B20/2/100)</f>
        <v>75624.30939226519</v>
      </c>
      <c r="C22" s="11"/>
      <c r="D22" s="5">
        <v>47149</v>
      </c>
      <c r="E22" s="6"/>
      <c r="G22" s="3"/>
      <c r="K22" s="3"/>
      <c r="L22" s="3"/>
      <c r="M22" s="3"/>
      <c r="N22" s="3"/>
    </row>
    <row r="23" spans="1:26" x14ac:dyDescent="0.25">
      <c r="A23" s="1" t="s">
        <v>8</v>
      </c>
      <c r="B23" s="8">
        <v>180</v>
      </c>
      <c r="C23" s="3"/>
      <c r="D23" s="5">
        <v>47330</v>
      </c>
      <c r="E23" s="6"/>
      <c r="G23" s="3"/>
      <c r="K23" s="3"/>
      <c r="L23" s="3"/>
      <c r="M23" s="3"/>
      <c r="N23" s="3"/>
    </row>
    <row r="24" spans="1:26" x14ac:dyDescent="0.25">
      <c r="A24" s="1" t="s">
        <v>9</v>
      </c>
      <c r="B24" s="12">
        <v>46169</v>
      </c>
      <c r="C24" s="13"/>
      <c r="D24" s="5"/>
      <c r="E24" s="6"/>
      <c r="F24" s="3"/>
      <c r="G24" s="3"/>
      <c r="H24" s="3"/>
      <c r="I24" s="3"/>
      <c r="J24" s="3"/>
      <c r="K24" s="3"/>
      <c r="L24" s="3"/>
      <c r="M24" s="3"/>
      <c r="N24" s="3" t="s">
        <v>39</v>
      </c>
    </row>
    <row r="25" spans="1:26" x14ac:dyDescent="0.25">
      <c r="A25" s="1" t="s">
        <v>10</v>
      </c>
      <c r="B25" s="12">
        <v>46053</v>
      </c>
      <c r="C25" s="13"/>
      <c r="D25" s="5"/>
      <c r="E25" s="6"/>
      <c r="G25" s="3"/>
      <c r="I25" s="44"/>
      <c r="J25" s="3"/>
      <c r="K25" s="3"/>
      <c r="L25" s="3"/>
      <c r="M25" s="3"/>
      <c r="N25" s="3"/>
    </row>
    <row r="26" spans="1:26" x14ac:dyDescent="0.25">
      <c r="A26" s="1" t="s">
        <v>11</v>
      </c>
      <c r="B26" s="45">
        <f>D17</f>
        <v>46234</v>
      </c>
      <c r="C26" s="13"/>
      <c r="D26" s="5"/>
      <c r="E26" s="6"/>
      <c r="G26" s="3"/>
      <c r="I26" s="44"/>
      <c r="J26" s="11"/>
      <c r="K26" s="3"/>
      <c r="L26" s="3"/>
      <c r="M26" s="3"/>
      <c r="N26" s="3"/>
      <c r="O26" s="17"/>
      <c r="P26" s="18"/>
      <c r="Q26" s="18"/>
      <c r="R26" s="18"/>
      <c r="S26" s="18"/>
      <c r="T26" s="18"/>
      <c r="U26" s="3"/>
      <c r="V26" s="19"/>
      <c r="W26" s="19"/>
      <c r="X26" s="19"/>
      <c r="Y26" s="19"/>
      <c r="Z26" s="3"/>
    </row>
    <row r="27" spans="1:26" x14ac:dyDescent="0.25">
      <c r="A27" s="1"/>
      <c r="B27" s="45"/>
      <c r="C27" s="13"/>
      <c r="D27" s="13"/>
      <c r="E27" s="3"/>
      <c r="G27" s="3"/>
      <c r="I27" s="44"/>
      <c r="J27" s="11"/>
      <c r="K27" s="3"/>
      <c r="L27" s="3"/>
      <c r="M27" s="3"/>
      <c r="N27" s="3"/>
      <c r="O27" s="22"/>
      <c r="P27" s="3"/>
      <c r="Q27" s="3"/>
      <c r="R27" s="3"/>
      <c r="S27" s="3"/>
      <c r="T27" s="24"/>
      <c r="U27" s="3"/>
      <c r="V27" s="25"/>
      <c r="W27" s="26"/>
      <c r="X27" s="26"/>
      <c r="Y27" s="3"/>
      <c r="Z27" s="3"/>
    </row>
    <row r="28" spans="1:26" x14ac:dyDescent="0.25">
      <c r="A28" s="1"/>
      <c r="B28" s="14"/>
      <c r="C28" s="27"/>
      <c r="D28" s="27"/>
      <c r="E28" s="3"/>
      <c r="G28" s="3"/>
      <c r="J28" s="3"/>
      <c r="K28" s="3"/>
      <c r="L28" s="3"/>
      <c r="M28" s="3"/>
      <c r="N28" s="3"/>
      <c r="O28" s="22"/>
      <c r="P28" s="27"/>
      <c r="Q28" s="3"/>
      <c r="R28" s="3"/>
      <c r="S28" s="3"/>
      <c r="T28" s="3"/>
      <c r="U28" s="3"/>
      <c r="V28" s="25"/>
      <c r="W28" s="26"/>
      <c r="X28" s="26"/>
      <c r="Y28" s="26"/>
      <c r="Z28" s="3"/>
    </row>
    <row r="29" spans="1:26" x14ac:dyDescent="0.25">
      <c r="A29" s="1"/>
      <c r="B29" s="14"/>
      <c r="C29" s="27"/>
      <c r="D29" s="27"/>
      <c r="E29" s="3"/>
      <c r="G29" s="3"/>
      <c r="H29" s="47"/>
      <c r="K29" s="3"/>
      <c r="L29" s="3"/>
      <c r="M29" s="3"/>
      <c r="N29" s="3"/>
      <c r="O29" s="22"/>
      <c r="P29" s="27"/>
      <c r="Q29" s="3"/>
      <c r="R29" s="27"/>
      <c r="S29" s="27"/>
      <c r="T29" s="3"/>
      <c r="U29" s="3"/>
      <c r="V29" s="25"/>
      <c r="W29" s="3"/>
      <c r="X29" s="26"/>
      <c r="Y29" s="26"/>
      <c r="Z29" s="3"/>
    </row>
    <row r="30" spans="1:26" x14ac:dyDescent="0.25">
      <c r="A30" s="3"/>
      <c r="B30" s="3"/>
      <c r="C30" s="27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14"/>
      <c r="P30" s="27"/>
      <c r="Q30" s="3"/>
      <c r="R30" s="3"/>
      <c r="S30" s="3"/>
      <c r="T30" s="3"/>
      <c r="U30" s="3"/>
      <c r="V30" s="25"/>
      <c r="W30" s="3"/>
      <c r="X30" s="26"/>
      <c r="Y30" s="26"/>
      <c r="Z30" s="3"/>
    </row>
    <row r="31" spans="1:26" ht="60" x14ac:dyDescent="0.25">
      <c r="A31" s="15" t="s">
        <v>15</v>
      </c>
      <c r="B31" s="16" t="s">
        <v>16</v>
      </c>
      <c r="C31" s="16" t="s">
        <v>17</v>
      </c>
      <c r="D31" s="15" t="s">
        <v>18</v>
      </c>
      <c r="E31" s="15" t="s">
        <v>19</v>
      </c>
      <c r="F31" s="52" t="s">
        <v>20</v>
      </c>
      <c r="G31" s="15" t="s">
        <v>21</v>
      </c>
      <c r="H31" s="52" t="s">
        <v>22</v>
      </c>
      <c r="I31" s="52" t="s">
        <v>23</v>
      </c>
      <c r="J31" s="52" t="s">
        <v>7</v>
      </c>
      <c r="K31" s="53" t="s">
        <v>17</v>
      </c>
      <c r="L31" s="52" t="s">
        <v>24</v>
      </c>
      <c r="M31" s="52" t="s">
        <v>25</v>
      </c>
      <c r="N31" s="52" t="s">
        <v>26</v>
      </c>
      <c r="O31" s="52" t="s">
        <v>27</v>
      </c>
      <c r="P31" s="53" t="s">
        <v>28</v>
      </c>
      <c r="Q31" s="53" t="s">
        <v>29</v>
      </c>
      <c r="R31" s="53" t="s">
        <v>30</v>
      </c>
      <c r="S31" s="53" t="s">
        <v>31</v>
      </c>
      <c r="T31" s="53" t="s">
        <v>32</v>
      </c>
      <c r="U31" s="3" t="s">
        <v>28</v>
      </c>
      <c r="V31" s="19" t="s">
        <v>33</v>
      </c>
      <c r="W31" s="19" t="s">
        <v>34</v>
      </c>
      <c r="X31" s="19" t="s">
        <v>35</v>
      </c>
      <c r="Y31" s="19" t="s">
        <v>36</v>
      </c>
      <c r="Z31" s="3"/>
    </row>
    <row r="32" spans="1:26" x14ac:dyDescent="0.25">
      <c r="A32" s="20"/>
      <c r="B32" s="54">
        <f>ROUND(-B4*B3/100,2)</f>
        <v>-136812695.31</v>
      </c>
      <c r="C32" s="54">
        <f>B3</f>
        <v>137000000</v>
      </c>
      <c r="D32" s="21">
        <f>A32-$A$32</f>
        <v>0</v>
      </c>
      <c r="E32" s="22">
        <f>+B13</f>
        <v>-187304.69</v>
      </c>
      <c r="F32" s="55"/>
      <c r="G32" s="22">
        <f>+B14</f>
        <v>0</v>
      </c>
      <c r="H32" s="55"/>
      <c r="I32" s="55">
        <f>+B3+G32+E32</f>
        <v>136812695.31</v>
      </c>
      <c r="J32" s="55">
        <f>((B9-B10)/(B11-B10))*(B3*(B5/2/100))</f>
        <v>1559226.5193370166</v>
      </c>
      <c r="K32" s="55">
        <f>I32-G32-E32</f>
        <v>137000000</v>
      </c>
      <c r="L32" s="23">
        <f>B4</f>
        <v>99.86328125</v>
      </c>
      <c r="M32" s="22"/>
      <c r="N32" s="22"/>
      <c r="O32" s="22">
        <f t="shared" ref="O32:O73" si="0">ROUND(K32*L32/100,2)</f>
        <v>136812695.31</v>
      </c>
      <c r="P32" s="3"/>
      <c r="Q32" s="3"/>
      <c r="R32" s="3"/>
      <c r="S32" s="3"/>
      <c r="T32" s="24">
        <f>(B3*B4+B18*B19)/(B3+B18)</f>
        <v>99.854088304758577</v>
      </c>
      <c r="U32" s="3"/>
      <c r="V32" s="25"/>
      <c r="W32" s="26"/>
      <c r="X32" s="26"/>
      <c r="Y32" s="3"/>
      <c r="Z32" s="3"/>
    </row>
    <row r="33" spans="1:26" x14ac:dyDescent="0.25">
      <c r="A33" s="20">
        <f>B9</f>
        <v>46156</v>
      </c>
      <c r="B33" s="54">
        <f>+B32</f>
        <v>-136812695.31</v>
      </c>
      <c r="C33" s="54">
        <f>+C32</f>
        <v>137000000</v>
      </c>
      <c r="D33" s="21">
        <f>A33-$A$33</f>
        <v>0</v>
      </c>
      <c r="E33" s="22">
        <f>+$E$32+F33</f>
        <v>-187304.69</v>
      </c>
      <c r="F33" s="55">
        <f>ROUND(-$E$32*D33/$D$73,2)</f>
        <v>0</v>
      </c>
      <c r="G33" s="22">
        <f>+$G$32+H33</f>
        <v>0</v>
      </c>
      <c r="H33" s="55">
        <f>ROUND(-$G$32*D33/$D$73,2)</f>
        <v>0</v>
      </c>
      <c r="I33" s="55">
        <f>+$I$32+H33+F33</f>
        <v>136812695.31</v>
      </c>
      <c r="J33" s="55">
        <f>+J32</f>
        <v>1559226.5193370166</v>
      </c>
      <c r="K33" s="55">
        <f>I33-G33-E33</f>
        <v>137000000</v>
      </c>
      <c r="L33" s="23">
        <f>+L32</f>
        <v>99.86328125</v>
      </c>
      <c r="M33" s="22">
        <f>ROUND(K33*(L33-$L$32)/100,2)</f>
        <v>0</v>
      </c>
      <c r="N33" s="22">
        <f>M33-F33</f>
        <v>0</v>
      </c>
      <c r="O33" s="22">
        <f t="shared" si="0"/>
        <v>136812695.31</v>
      </c>
      <c r="P33" s="27">
        <f>+$I$32+H33+N33-O33</f>
        <v>0</v>
      </c>
      <c r="Q33" s="3"/>
      <c r="R33" s="3"/>
      <c r="S33" s="3"/>
      <c r="T33" s="3"/>
      <c r="U33" s="3"/>
      <c r="V33" s="25"/>
      <c r="W33" s="26"/>
      <c r="X33" s="26"/>
      <c r="Y33" s="26"/>
      <c r="Z33" s="3"/>
    </row>
    <row r="34" spans="1:26" x14ac:dyDescent="0.25">
      <c r="A34" s="56">
        <v>46169</v>
      </c>
      <c r="B34" s="57">
        <f>ROUND(-B19*B18/100,2)</f>
        <v>-5878796.8799999999</v>
      </c>
      <c r="C34" s="58">
        <f t="shared" ref="C34:C73" si="1">A34-$A$33</f>
        <v>13</v>
      </c>
      <c r="D34" s="59">
        <f t="shared" ref="D34:D73" si="2">A34-$A$34</f>
        <v>0</v>
      </c>
      <c r="E34" s="60">
        <f>B28</f>
        <v>0</v>
      </c>
      <c r="F34" s="61"/>
      <c r="G34" s="60">
        <f>B29</f>
        <v>0</v>
      </c>
      <c r="H34" s="61"/>
      <c r="I34" s="61">
        <f>+B18+G34+E34</f>
        <v>5900000</v>
      </c>
      <c r="J34" s="61">
        <f>(B24-B25)/(B26-B25)*(B18*B20/2/100)</f>
        <v>75624.30939226519</v>
      </c>
      <c r="K34" s="61">
        <f>I34-G34-E34</f>
        <v>5900000</v>
      </c>
      <c r="L34" s="62">
        <v>99.640625</v>
      </c>
      <c r="M34" s="60"/>
      <c r="N34" s="60"/>
      <c r="O34" s="60">
        <f t="shared" si="0"/>
        <v>5878796.8799999999</v>
      </c>
      <c r="P34" s="27"/>
      <c r="Q34" s="3"/>
      <c r="R34" s="3"/>
      <c r="S34" s="3"/>
      <c r="T34" s="3"/>
      <c r="U34" s="3"/>
      <c r="V34" s="25">
        <v>6.8199999999999999E-4</v>
      </c>
      <c r="W34" s="26">
        <v>0.6</v>
      </c>
      <c r="X34" s="26"/>
      <c r="Y34" s="26"/>
      <c r="Z34" s="3"/>
    </row>
    <row r="35" spans="1:26" x14ac:dyDescent="0.25">
      <c r="A35" s="28">
        <v>46173</v>
      </c>
      <c r="B35" s="63"/>
      <c r="C35" s="64">
        <f t="shared" si="1"/>
        <v>17</v>
      </c>
      <c r="D35" s="29">
        <f t="shared" si="2"/>
        <v>4</v>
      </c>
      <c r="E35" s="22">
        <f>+$F$18+F35</f>
        <v>2712.2484923339011</v>
      </c>
      <c r="F35" s="55">
        <f>-(($E$32/$C$73*C35)+($E$34/$D$73*D35))</f>
        <v>2712.2484923339011</v>
      </c>
      <c r="G35" s="22">
        <f>+$F$21+H35</f>
        <v>0</v>
      </c>
      <c r="H35" s="55">
        <f>-(($G$32/$C$73*C35)+($G$34/$D$73*D35))</f>
        <v>0</v>
      </c>
      <c r="I35" s="55">
        <f t="shared" ref="I35:I73" si="3">+$I$32+H35+F35-$B$34+$F$34</f>
        <v>142694204.43849233</v>
      </c>
      <c r="J35" s="55">
        <f>((A35-B10)/(A37-B10))*$H$18</f>
        <v>0</v>
      </c>
      <c r="K35" s="55">
        <f>I35-G35-E35</f>
        <v>142691492.19</v>
      </c>
      <c r="L35" s="65">
        <v>99.640625</v>
      </c>
      <c r="M35" s="14">
        <f>((K32*(L35-$L$32)/100)+(K34*(L35-$L$34)/100))</f>
        <v>-305039.0625</v>
      </c>
      <c r="N35" s="14">
        <f>M35-H35-F35</f>
        <v>-307751.31099233392</v>
      </c>
      <c r="O35" s="14">
        <f t="shared" si="0"/>
        <v>142178694.63999999</v>
      </c>
      <c r="P35" s="27">
        <f>(-($B$32+$B$34))+H35+N35-O35+F35</f>
        <v>207758.4875000155</v>
      </c>
      <c r="Q35" s="3"/>
      <c r="R35" s="147">
        <f>B18*(L34-L32)/100</f>
        <v>-13136.71875</v>
      </c>
      <c r="S35" s="3"/>
      <c r="T35" s="3"/>
      <c r="U35" s="3"/>
      <c r="V35" s="25">
        <v>6.8199999999999999E-4</v>
      </c>
      <c r="W35" s="3">
        <v>0.6</v>
      </c>
      <c r="X35" s="26">
        <f>ROUND((K35+B35)*V35*W35,2)</f>
        <v>58389.36</v>
      </c>
      <c r="Y35" s="26">
        <f>+X35-X34</f>
        <v>58389.36</v>
      </c>
      <c r="Z35" s="3"/>
    </row>
    <row r="36" spans="1:26" x14ac:dyDescent="0.25">
      <c r="A36" s="28">
        <v>46203</v>
      </c>
      <c r="B36" s="63"/>
      <c r="C36" s="64">
        <f t="shared" si="1"/>
        <v>47</v>
      </c>
      <c r="D36" s="29">
        <f t="shared" si="2"/>
        <v>34</v>
      </c>
      <c r="E36" s="22">
        <f>+$F$18+F36</f>
        <v>7498.5693611584329</v>
      </c>
      <c r="F36" s="55">
        <f t="shared" ref="F36:F73" si="4">-(($E$32/$C$73*C36)+($E$34/$D$73*D36))</f>
        <v>7498.5693611584329</v>
      </c>
      <c r="G36" s="22">
        <f>+$F$21+H36</f>
        <v>0</v>
      </c>
      <c r="H36" s="55">
        <f t="shared" ref="H36:H73" si="5">-(($G$32/$C$73*C36)+($G$34/$D$73*D36))</f>
        <v>0</v>
      </c>
      <c r="I36" s="55">
        <f t="shared" si="3"/>
        <v>142698990.75936115</v>
      </c>
      <c r="J36" s="55">
        <f>((A36-B10)/(A37-B10))*$H$18</f>
        <v>0</v>
      </c>
      <c r="K36" s="55">
        <f t="shared" ref="K36:K73" si="6">I36-G36-E36</f>
        <v>142691492.19</v>
      </c>
      <c r="L36" s="30">
        <v>97.132788000000005</v>
      </c>
      <c r="M36" s="14">
        <f>(($K$32*(L36-$L$32)/100)+($K$34*(L36-$L$34)/100))</f>
        <v>-3888738.1354999929</v>
      </c>
      <c r="N36" s="14">
        <f>M36-H36-F36</f>
        <v>-3896236.7048611515</v>
      </c>
      <c r="O36" s="14">
        <f t="shared" si="0"/>
        <v>138600224.59999999</v>
      </c>
      <c r="P36" s="27">
        <f t="shared" ref="P36:P73" si="7">(-($B$32+$B$34))+H36+N36-O36+F36</f>
        <v>202529.45449999793</v>
      </c>
      <c r="Q36" s="3"/>
      <c r="R36" s="3"/>
      <c r="S36" s="3"/>
      <c r="T36" s="3"/>
      <c r="U36" s="3"/>
      <c r="V36" s="25">
        <v>6.8199999999999999E-4</v>
      </c>
      <c r="W36" s="3">
        <v>0.6</v>
      </c>
      <c r="X36" s="26">
        <f t="shared" ref="X36:X73" si="8">ROUND((K36+B36)*V36*W36,2)</f>
        <v>58389.36</v>
      </c>
      <c r="Y36" s="26">
        <f>+X36-X35</f>
        <v>0</v>
      </c>
      <c r="Z36" s="3"/>
    </row>
    <row r="37" spans="1:26" x14ac:dyDescent="0.25">
      <c r="A37" s="31">
        <v>46234</v>
      </c>
      <c r="B37" s="63"/>
      <c r="C37" s="64">
        <f t="shared" si="1"/>
        <v>78</v>
      </c>
      <c r="D37" s="29">
        <f t="shared" si="2"/>
        <v>65</v>
      </c>
      <c r="E37" s="22">
        <f t="shared" ref="E37:E73" si="9">+$F$18+F37</f>
        <v>12444.434258943782</v>
      </c>
      <c r="F37" s="55">
        <f t="shared" si="4"/>
        <v>12444.434258943782</v>
      </c>
      <c r="G37" s="22">
        <f t="shared" ref="G37:G73" si="10">+$F$21+H37</f>
        <v>0</v>
      </c>
      <c r="H37" s="55">
        <f t="shared" si="5"/>
        <v>0</v>
      </c>
      <c r="I37" s="55">
        <f t="shared" si="3"/>
        <v>142703936.62425894</v>
      </c>
      <c r="J37" s="55">
        <f>((A37-B10)/(A37-B10))*$H$18</f>
        <v>0</v>
      </c>
      <c r="K37" s="55">
        <f t="shared" si="6"/>
        <v>142691492.19</v>
      </c>
      <c r="L37" s="30">
        <v>97.132788000000005</v>
      </c>
      <c r="M37" s="14">
        <f t="shared" ref="M37:M73" si="11">(($K$32*(L37-$L$32)/100)+($K$34*(L37-$L$34)/100))</f>
        <v>-3888738.1354999929</v>
      </c>
      <c r="N37" s="14">
        <f>M37-H37-F37</f>
        <v>-3901182.5697589368</v>
      </c>
      <c r="O37" s="14">
        <f t="shared" si="0"/>
        <v>138600224.59999999</v>
      </c>
      <c r="P37" s="27">
        <f t="shared" si="7"/>
        <v>202529.45449999569</v>
      </c>
      <c r="Q37" s="3"/>
      <c r="R37" s="3"/>
      <c r="S37" s="3"/>
      <c r="T37" s="3"/>
      <c r="U37" s="3"/>
      <c r="V37" s="25">
        <v>6.8199999999999999E-4</v>
      </c>
      <c r="W37" s="3">
        <v>0.6</v>
      </c>
      <c r="X37" s="26">
        <f t="shared" si="8"/>
        <v>58389.36</v>
      </c>
      <c r="Y37" s="26">
        <f t="shared" ref="Y37:Y72" si="12">+X37-X36</f>
        <v>0</v>
      </c>
      <c r="Z37" s="3"/>
    </row>
    <row r="38" spans="1:26" x14ac:dyDescent="0.25">
      <c r="A38" s="28">
        <v>46265</v>
      </c>
      <c r="B38" s="63"/>
      <c r="C38" s="64">
        <f t="shared" si="1"/>
        <v>109</v>
      </c>
      <c r="D38" s="29">
        <f t="shared" si="2"/>
        <v>96</v>
      </c>
      <c r="E38" s="22">
        <f t="shared" si="9"/>
        <v>17390.299156729132</v>
      </c>
      <c r="F38" s="55">
        <f t="shared" si="4"/>
        <v>17390.299156729132</v>
      </c>
      <c r="G38" s="22">
        <f t="shared" si="10"/>
        <v>0</v>
      </c>
      <c r="H38" s="55">
        <f t="shared" si="5"/>
        <v>0</v>
      </c>
      <c r="I38" s="55">
        <f t="shared" si="3"/>
        <v>142708882.48915672</v>
      </c>
      <c r="J38" s="55">
        <f>((A38-A37)/(A43-A37))*$H$18</f>
        <v>0</v>
      </c>
      <c r="K38" s="55">
        <f t="shared" si="6"/>
        <v>142691492.19</v>
      </c>
      <c r="L38" s="30">
        <v>97.132788000000005</v>
      </c>
      <c r="M38" s="14">
        <f t="shared" si="11"/>
        <v>-3888738.1354999929</v>
      </c>
      <c r="N38" s="14">
        <f>M38-H38-F38</f>
        <v>-3906128.434656722</v>
      </c>
      <c r="O38" s="14">
        <f t="shared" si="0"/>
        <v>138600224.59999999</v>
      </c>
      <c r="P38" s="27">
        <f t="shared" si="7"/>
        <v>202529.45450002328</v>
      </c>
      <c r="Q38" s="3"/>
      <c r="R38" s="3"/>
      <c r="S38" s="3"/>
      <c r="T38" s="3"/>
      <c r="U38" s="3"/>
      <c r="V38" s="25">
        <v>6.8199999999999999E-4</v>
      </c>
      <c r="W38" s="3">
        <v>0.6</v>
      </c>
      <c r="X38" s="26">
        <f t="shared" si="8"/>
        <v>58389.36</v>
      </c>
      <c r="Y38" s="26">
        <f t="shared" si="12"/>
        <v>0</v>
      </c>
      <c r="Z38" s="3"/>
    </row>
    <row r="39" spans="1:26" x14ac:dyDescent="0.25">
      <c r="A39" s="28">
        <v>46295</v>
      </c>
      <c r="B39" s="63"/>
      <c r="C39" s="64">
        <f t="shared" si="1"/>
        <v>139</v>
      </c>
      <c r="D39" s="29">
        <f t="shared" si="2"/>
        <v>126</v>
      </c>
      <c r="E39" s="22">
        <f t="shared" si="9"/>
        <v>22176.620025553661</v>
      </c>
      <c r="F39" s="55">
        <f t="shared" si="4"/>
        <v>22176.620025553661</v>
      </c>
      <c r="G39" s="22">
        <f t="shared" si="10"/>
        <v>0</v>
      </c>
      <c r="H39" s="55">
        <f t="shared" si="5"/>
        <v>0</v>
      </c>
      <c r="I39" s="55">
        <f t="shared" si="3"/>
        <v>142713668.81002554</v>
      </c>
      <c r="J39" s="55">
        <f>((A39-A37)/(A43-A37))*$H$18</f>
        <v>0</v>
      </c>
      <c r="K39" s="55">
        <f t="shared" si="6"/>
        <v>142691492.19</v>
      </c>
      <c r="L39" s="30">
        <v>97.132788000000005</v>
      </c>
      <c r="M39" s="14">
        <f t="shared" si="11"/>
        <v>-3888738.1354999929</v>
      </c>
      <c r="N39" s="14">
        <f>M39-H39-F39</f>
        <v>-3910914.7555255466</v>
      </c>
      <c r="O39" s="14">
        <f t="shared" si="0"/>
        <v>138600224.59999999</v>
      </c>
      <c r="P39" s="27">
        <f t="shared" si="7"/>
        <v>202529.45449999804</v>
      </c>
      <c r="Q39" s="3"/>
      <c r="R39" s="3"/>
      <c r="S39" s="3"/>
      <c r="T39" s="3"/>
      <c r="U39" s="3"/>
      <c r="V39" s="25">
        <v>6.8199999999999999E-4</v>
      </c>
      <c r="W39" s="3">
        <v>0.6</v>
      </c>
      <c r="X39" s="26">
        <f t="shared" si="8"/>
        <v>58389.36</v>
      </c>
      <c r="Y39" s="26">
        <f t="shared" si="12"/>
        <v>0</v>
      </c>
      <c r="Z39" s="3"/>
    </row>
    <row r="40" spans="1:26" x14ac:dyDescent="0.25">
      <c r="A40" s="28">
        <v>46326</v>
      </c>
      <c r="B40" s="63"/>
      <c r="C40" s="64">
        <f t="shared" si="1"/>
        <v>170</v>
      </c>
      <c r="D40" s="29">
        <f t="shared" si="2"/>
        <v>157</v>
      </c>
      <c r="E40" s="22">
        <f t="shared" si="9"/>
        <v>27122.484923339012</v>
      </c>
      <c r="F40" s="55">
        <f t="shared" si="4"/>
        <v>27122.484923339012</v>
      </c>
      <c r="G40" s="22">
        <f t="shared" si="10"/>
        <v>0</v>
      </c>
      <c r="H40" s="55">
        <f t="shared" si="5"/>
        <v>0</v>
      </c>
      <c r="I40" s="55">
        <f t="shared" si="3"/>
        <v>142718614.67492333</v>
      </c>
      <c r="J40" s="55">
        <f>((A40-A37)/(A43-A37))*$H$18</f>
        <v>0</v>
      </c>
      <c r="K40" s="55">
        <f t="shared" si="6"/>
        <v>142691492.19</v>
      </c>
      <c r="L40" s="30">
        <v>97.132788000000005</v>
      </c>
      <c r="M40" s="14">
        <f t="shared" si="11"/>
        <v>-3888738.1354999929</v>
      </c>
      <c r="N40" s="14">
        <f t="shared" ref="N40:N74" si="13">M40-H40-F40</f>
        <v>-3915860.6204233319</v>
      </c>
      <c r="O40" s="14">
        <f t="shared" si="0"/>
        <v>138600224.59999999</v>
      </c>
      <c r="P40" s="27">
        <f t="shared" si="7"/>
        <v>202529.45450002563</v>
      </c>
      <c r="Q40" s="3"/>
      <c r="R40" s="3"/>
      <c r="S40" s="3"/>
      <c r="T40" s="3"/>
      <c r="U40" s="3"/>
      <c r="V40" s="25">
        <v>6.8199999999999999E-4</v>
      </c>
      <c r="W40" s="3">
        <v>0.6</v>
      </c>
      <c r="X40" s="26">
        <f t="shared" si="8"/>
        <v>58389.36</v>
      </c>
      <c r="Y40" s="26">
        <f t="shared" si="12"/>
        <v>0</v>
      </c>
      <c r="Z40" s="3"/>
    </row>
    <row r="41" spans="1:26" x14ac:dyDescent="0.25">
      <c r="A41" s="28">
        <v>46356</v>
      </c>
      <c r="B41" s="63"/>
      <c r="C41" s="64">
        <f t="shared" si="1"/>
        <v>200</v>
      </c>
      <c r="D41" s="29">
        <f t="shared" si="2"/>
        <v>187</v>
      </c>
      <c r="E41" s="22">
        <f t="shared" si="9"/>
        <v>31908.805792163541</v>
      </c>
      <c r="F41" s="55">
        <f t="shared" si="4"/>
        <v>31908.805792163541</v>
      </c>
      <c r="G41" s="22">
        <f t="shared" si="10"/>
        <v>0</v>
      </c>
      <c r="H41" s="55">
        <f t="shared" si="5"/>
        <v>0</v>
      </c>
      <c r="I41" s="55">
        <f t="shared" si="3"/>
        <v>142723400.99579215</v>
      </c>
      <c r="J41" s="55">
        <f>((A41-A37)/(A43-A37))*$H$18</f>
        <v>0</v>
      </c>
      <c r="K41" s="55">
        <f t="shared" si="6"/>
        <v>142691492.19</v>
      </c>
      <c r="L41" s="30">
        <v>97.132788000000005</v>
      </c>
      <c r="M41" s="14">
        <f t="shared" si="11"/>
        <v>-3888738.1354999929</v>
      </c>
      <c r="N41" s="14">
        <f t="shared" si="13"/>
        <v>-3920646.9412921565</v>
      </c>
      <c r="O41" s="14">
        <f t="shared" si="0"/>
        <v>138600224.59999999</v>
      </c>
      <c r="P41" s="27">
        <f t="shared" si="7"/>
        <v>202529.4545000004</v>
      </c>
      <c r="Q41" s="3"/>
      <c r="R41" s="3"/>
      <c r="S41" s="3"/>
      <c r="T41" s="3"/>
      <c r="U41" s="3"/>
      <c r="V41" s="25">
        <v>6.8199999999999999E-4</v>
      </c>
      <c r="W41" s="3">
        <v>0.6</v>
      </c>
      <c r="X41" s="26">
        <f t="shared" si="8"/>
        <v>58389.36</v>
      </c>
      <c r="Y41" s="26">
        <f t="shared" si="12"/>
        <v>0</v>
      </c>
      <c r="Z41" s="3"/>
    </row>
    <row r="42" spans="1:26" x14ac:dyDescent="0.25">
      <c r="A42" s="28">
        <v>46387</v>
      </c>
      <c r="B42" s="63"/>
      <c r="C42" s="64">
        <f t="shared" si="1"/>
        <v>231</v>
      </c>
      <c r="D42" s="29">
        <f t="shared" si="2"/>
        <v>218</v>
      </c>
      <c r="E42" s="22">
        <f t="shared" si="9"/>
        <v>36854.670689948893</v>
      </c>
      <c r="F42" s="55">
        <f t="shared" si="4"/>
        <v>36854.670689948893</v>
      </c>
      <c r="G42" s="22">
        <f t="shared" si="10"/>
        <v>0</v>
      </c>
      <c r="H42" s="55">
        <f t="shared" si="5"/>
        <v>0</v>
      </c>
      <c r="I42" s="55">
        <f t="shared" si="3"/>
        <v>142728346.86068994</v>
      </c>
      <c r="J42" s="55">
        <f>((A42-A37)/(A43-A37))*$H$18</f>
        <v>0</v>
      </c>
      <c r="K42" s="55">
        <f t="shared" si="6"/>
        <v>142691492.19</v>
      </c>
      <c r="L42" s="30">
        <v>97.132788000000005</v>
      </c>
      <c r="M42" s="14">
        <f t="shared" si="11"/>
        <v>-3888738.1354999929</v>
      </c>
      <c r="N42" s="14">
        <f t="shared" si="13"/>
        <v>-3925592.8061899417</v>
      </c>
      <c r="O42" s="14">
        <f t="shared" si="0"/>
        <v>138600224.59999999</v>
      </c>
      <c r="P42" s="27">
        <f t="shared" si="7"/>
        <v>202529.45449999819</v>
      </c>
      <c r="Q42" s="3"/>
      <c r="R42" s="3"/>
      <c r="S42" s="3"/>
      <c r="T42" s="3"/>
      <c r="U42" s="3"/>
      <c r="V42" s="25">
        <v>6.8199999999999999E-4</v>
      </c>
      <c r="W42" s="3">
        <v>0.6</v>
      </c>
      <c r="X42" s="26">
        <f t="shared" si="8"/>
        <v>58389.36</v>
      </c>
      <c r="Y42" s="26">
        <f t="shared" si="12"/>
        <v>0</v>
      </c>
      <c r="Z42" s="3"/>
    </row>
    <row r="43" spans="1:26" x14ac:dyDescent="0.25">
      <c r="A43" s="31">
        <v>46418</v>
      </c>
      <c r="B43" s="63"/>
      <c r="C43" s="64">
        <f t="shared" si="1"/>
        <v>262</v>
      </c>
      <c r="D43" s="29">
        <f t="shared" si="2"/>
        <v>249</v>
      </c>
      <c r="E43" s="22">
        <f t="shared" si="9"/>
        <v>41800.535587734237</v>
      </c>
      <c r="F43" s="55">
        <f t="shared" si="4"/>
        <v>41800.535587734237</v>
      </c>
      <c r="G43" s="22">
        <f t="shared" si="10"/>
        <v>0</v>
      </c>
      <c r="H43" s="55">
        <f t="shared" si="5"/>
        <v>0</v>
      </c>
      <c r="I43" s="55">
        <f t="shared" si="3"/>
        <v>142733292.72558773</v>
      </c>
      <c r="J43" s="55">
        <f>((A43-A37)/(A43-A37))*$H$18</f>
        <v>0</v>
      </c>
      <c r="K43" s="55">
        <f t="shared" si="6"/>
        <v>142691492.19</v>
      </c>
      <c r="L43" s="30">
        <v>97.132788000000005</v>
      </c>
      <c r="M43" s="14">
        <f t="shared" si="11"/>
        <v>-3888738.1354999929</v>
      </c>
      <c r="N43" s="14">
        <f t="shared" si="13"/>
        <v>-3930538.671087727</v>
      </c>
      <c r="O43" s="14">
        <f t="shared" si="0"/>
        <v>138600224.59999999</v>
      </c>
      <c r="P43" s="27">
        <f t="shared" si="7"/>
        <v>202529.45449999598</v>
      </c>
      <c r="Q43" s="3"/>
      <c r="R43" s="3"/>
      <c r="S43" s="3"/>
      <c r="T43" s="3"/>
      <c r="U43" s="3"/>
      <c r="V43" s="25">
        <v>6.8199999999999999E-4</v>
      </c>
      <c r="W43" s="3">
        <v>0.6</v>
      </c>
      <c r="X43" s="26">
        <f t="shared" si="8"/>
        <v>58389.36</v>
      </c>
      <c r="Y43" s="26">
        <f t="shared" si="12"/>
        <v>0</v>
      </c>
      <c r="Z43" s="3"/>
    </row>
    <row r="44" spans="1:26" x14ac:dyDescent="0.25">
      <c r="A44" s="28">
        <v>46446</v>
      </c>
      <c r="B44" s="63"/>
      <c r="C44" s="64">
        <f t="shared" si="1"/>
        <v>290</v>
      </c>
      <c r="D44" s="29">
        <f t="shared" si="2"/>
        <v>277</v>
      </c>
      <c r="E44" s="22">
        <f t="shared" si="9"/>
        <v>46267.768398637134</v>
      </c>
      <c r="F44" s="55">
        <f t="shared" si="4"/>
        <v>46267.768398637134</v>
      </c>
      <c r="G44" s="22">
        <f t="shared" si="10"/>
        <v>0</v>
      </c>
      <c r="H44" s="55">
        <f t="shared" si="5"/>
        <v>0</v>
      </c>
      <c r="I44" s="55">
        <f t="shared" si="3"/>
        <v>142737759.95839864</v>
      </c>
      <c r="J44" s="55">
        <f>((A44-A43)/(A49-A43))*$H$18</f>
        <v>0</v>
      </c>
      <c r="K44" s="55">
        <f t="shared" si="6"/>
        <v>142691492.19</v>
      </c>
      <c r="L44" s="30">
        <v>97.132788000000005</v>
      </c>
      <c r="M44" s="14">
        <f t="shared" si="11"/>
        <v>-3888738.1354999929</v>
      </c>
      <c r="N44" s="14">
        <f t="shared" si="13"/>
        <v>-3935005.9038986298</v>
      </c>
      <c r="O44" s="14">
        <f t="shared" si="0"/>
        <v>138600224.59999999</v>
      </c>
      <c r="P44" s="27">
        <f t="shared" si="7"/>
        <v>202529.45450001414</v>
      </c>
      <c r="Q44" s="3"/>
      <c r="R44" s="3"/>
      <c r="S44" s="3"/>
      <c r="T44" s="3"/>
      <c r="U44" s="3"/>
      <c r="V44" s="25">
        <v>6.8199999999999999E-4</v>
      </c>
      <c r="W44" s="3">
        <v>0.6</v>
      </c>
      <c r="X44" s="26">
        <f t="shared" si="8"/>
        <v>58389.36</v>
      </c>
      <c r="Y44" s="26">
        <f t="shared" si="12"/>
        <v>0</v>
      </c>
      <c r="Z44" s="3"/>
    </row>
    <row r="45" spans="1:26" x14ac:dyDescent="0.25">
      <c r="A45" s="28">
        <v>46477</v>
      </c>
      <c r="B45" s="63"/>
      <c r="C45" s="64">
        <f t="shared" si="1"/>
        <v>321</v>
      </c>
      <c r="D45" s="29">
        <f t="shared" si="2"/>
        <v>308</v>
      </c>
      <c r="E45" s="22">
        <f t="shared" si="9"/>
        <v>51213.633296422486</v>
      </c>
      <c r="F45" s="55">
        <f t="shared" si="4"/>
        <v>51213.633296422486</v>
      </c>
      <c r="G45" s="22">
        <f t="shared" si="10"/>
        <v>0</v>
      </c>
      <c r="H45" s="55">
        <f t="shared" si="5"/>
        <v>0</v>
      </c>
      <c r="I45" s="55">
        <f t="shared" si="3"/>
        <v>142742705.82329643</v>
      </c>
      <c r="J45" s="55">
        <f>((A45-A43)/(A49-A43))*$H$18</f>
        <v>0</v>
      </c>
      <c r="K45" s="55">
        <f t="shared" si="6"/>
        <v>142691492.19</v>
      </c>
      <c r="L45" s="30">
        <v>97.132788000000005</v>
      </c>
      <c r="M45" s="14">
        <f t="shared" si="11"/>
        <v>-3888738.1354999929</v>
      </c>
      <c r="N45" s="14">
        <f t="shared" si="13"/>
        <v>-3939951.7687964155</v>
      </c>
      <c r="O45" s="14">
        <f t="shared" si="0"/>
        <v>138600224.59999999</v>
      </c>
      <c r="P45" s="27">
        <f t="shared" si="7"/>
        <v>202529.45450001193</v>
      </c>
      <c r="Q45" s="3"/>
      <c r="R45" s="3"/>
      <c r="S45" s="3"/>
      <c r="T45" s="3"/>
      <c r="U45" s="3"/>
      <c r="V45" s="25">
        <v>6.8199999999999999E-4</v>
      </c>
      <c r="W45" s="3">
        <v>0.6</v>
      </c>
      <c r="X45" s="26">
        <f t="shared" si="8"/>
        <v>58389.36</v>
      </c>
      <c r="Y45" s="26">
        <f t="shared" si="12"/>
        <v>0</v>
      </c>
      <c r="Z45" s="3"/>
    </row>
    <row r="46" spans="1:26" x14ac:dyDescent="0.25">
      <c r="A46" s="28">
        <v>46507</v>
      </c>
      <c r="B46" s="63"/>
      <c r="C46" s="64">
        <f t="shared" si="1"/>
        <v>351</v>
      </c>
      <c r="D46" s="29">
        <f t="shared" si="2"/>
        <v>338</v>
      </c>
      <c r="E46" s="22">
        <f t="shared" si="9"/>
        <v>55999.954165247014</v>
      </c>
      <c r="F46" s="55">
        <f t="shared" si="4"/>
        <v>55999.954165247014</v>
      </c>
      <c r="G46" s="22">
        <f t="shared" si="10"/>
        <v>0</v>
      </c>
      <c r="H46" s="55">
        <f t="shared" si="5"/>
        <v>0</v>
      </c>
      <c r="I46" s="55">
        <f t="shared" si="3"/>
        <v>142747492.14416525</v>
      </c>
      <c r="J46" s="55">
        <f>((A46-A43)/(A49-A43))*$H$18</f>
        <v>0</v>
      </c>
      <c r="K46" s="55">
        <f t="shared" si="6"/>
        <v>142691492.19</v>
      </c>
      <c r="L46" s="30">
        <v>97.132788000000005</v>
      </c>
      <c r="M46" s="14">
        <f t="shared" si="11"/>
        <v>-3888738.1354999929</v>
      </c>
      <c r="N46" s="14">
        <f t="shared" si="13"/>
        <v>-3944738.0896652397</v>
      </c>
      <c r="O46" s="14">
        <f t="shared" si="0"/>
        <v>138600224.59999999</v>
      </c>
      <c r="P46" s="27">
        <f t="shared" si="7"/>
        <v>202529.45450001649</v>
      </c>
      <c r="Q46" s="3"/>
      <c r="R46" s="3"/>
      <c r="S46" s="3"/>
      <c r="T46" s="3"/>
      <c r="U46" s="3"/>
      <c r="V46" s="25">
        <v>6.8199999999999999E-4</v>
      </c>
      <c r="W46" s="3">
        <v>0.6</v>
      </c>
      <c r="X46" s="26">
        <f t="shared" si="8"/>
        <v>58389.36</v>
      </c>
      <c r="Y46" s="26">
        <f t="shared" si="12"/>
        <v>0</v>
      </c>
      <c r="Z46" s="3"/>
    </row>
    <row r="47" spans="1:26" x14ac:dyDescent="0.25">
      <c r="A47" s="28">
        <v>46538</v>
      </c>
      <c r="B47" s="63"/>
      <c r="C47" s="64">
        <f t="shared" si="1"/>
        <v>382</v>
      </c>
      <c r="D47" s="29">
        <f t="shared" si="2"/>
        <v>369</v>
      </c>
      <c r="E47" s="22">
        <f t="shared" si="9"/>
        <v>60945.819063032366</v>
      </c>
      <c r="F47" s="55">
        <f t="shared" si="4"/>
        <v>60945.819063032366</v>
      </c>
      <c r="G47" s="22">
        <f t="shared" si="10"/>
        <v>0</v>
      </c>
      <c r="H47" s="55">
        <f t="shared" si="5"/>
        <v>0</v>
      </c>
      <c r="I47" s="55">
        <f t="shared" si="3"/>
        <v>142752438.00906304</v>
      </c>
      <c r="J47" s="55">
        <f>((A47-A43)/(A49-A43))*$H$18</f>
        <v>0</v>
      </c>
      <c r="K47" s="55">
        <f t="shared" si="6"/>
        <v>142691492.19</v>
      </c>
      <c r="L47" s="30">
        <v>97.132788000000005</v>
      </c>
      <c r="M47" s="14">
        <f t="shared" si="11"/>
        <v>-3888738.1354999929</v>
      </c>
      <c r="N47" s="14">
        <f t="shared" si="13"/>
        <v>-3949683.9545630254</v>
      </c>
      <c r="O47" s="14">
        <f t="shared" si="0"/>
        <v>138600224.59999999</v>
      </c>
      <c r="P47" s="27">
        <f t="shared" si="7"/>
        <v>202529.45450001428</v>
      </c>
      <c r="Q47" s="3"/>
      <c r="R47" s="3"/>
      <c r="S47" s="3"/>
      <c r="T47" s="3"/>
      <c r="U47" s="3"/>
      <c r="V47" s="25">
        <v>6.8199999999999999E-4</v>
      </c>
      <c r="W47" s="3">
        <v>0.6</v>
      </c>
      <c r="X47" s="26">
        <f t="shared" si="8"/>
        <v>58389.36</v>
      </c>
      <c r="Y47" s="26">
        <f t="shared" si="12"/>
        <v>0</v>
      </c>
      <c r="Z47" s="3"/>
    </row>
    <row r="48" spans="1:26" x14ac:dyDescent="0.25">
      <c r="A48" s="28">
        <v>46568</v>
      </c>
      <c r="B48" s="63"/>
      <c r="C48" s="64">
        <f t="shared" si="1"/>
        <v>412</v>
      </c>
      <c r="D48" s="29">
        <f t="shared" si="2"/>
        <v>399</v>
      </c>
      <c r="E48" s="22">
        <f t="shared" si="9"/>
        <v>65732.139931856902</v>
      </c>
      <c r="F48" s="55">
        <f t="shared" si="4"/>
        <v>65732.139931856902</v>
      </c>
      <c r="G48" s="22">
        <f t="shared" si="10"/>
        <v>0</v>
      </c>
      <c r="H48" s="55">
        <f t="shared" si="5"/>
        <v>0</v>
      </c>
      <c r="I48" s="55">
        <f t="shared" si="3"/>
        <v>142757224.32993186</v>
      </c>
      <c r="J48" s="55">
        <f>((A48-A43)/(A49-A43))*$H$18</f>
        <v>0</v>
      </c>
      <c r="K48" s="55">
        <f t="shared" si="6"/>
        <v>142691492.19</v>
      </c>
      <c r="L48" s="30">
        <v>97.132788000000005</v>
      </c>
      <c r="M48" s="14">
        <f t="shared" si="11"/>
        <v>-3888738.1354999929</v>
      </c>
      <c r="N48" s="14">
        <f t="shared" si="13"/>
        <v>-3954470.27543185</v>
      </c>
      <c r="O48" s="14">
        <f t="shared" si="0"/>
        <v>138600224.59999999</v>
      </c>
      <c r="P48" s="27">
        <f t="shared" si="7"/>
        <v>202529.45450001885</v>
      </c>
      <c r="Q48" s="3"/>
      <c r="R48" s="3"/>
      <c r="S48" s="3"/>
      <c r="T48" s="3"/>
      <c r="U48" s="3"/>
      <c r="V48" s="25">
        <v>6.8199999999999999E-4</v>
      </c>
      <c r="W48" s="3">
        <v>0.6</v>
      </c>
      <c r="X48" s="26">
        <f t="shared" si="8"/>
        <v>58389.36</v>
      </c>
      <c r="Y48" s="26">
        <f t="shared" si="12"/>
        <v>0</v>
      </c>
      <c r="Z48" s="3"/>
    </row>
    <row r="49" spans="1:26" x14ac:dyDescent="0.25">
      <c r="A49" s="31">
        <v>46599</v>
      </c>
      <c r="B49" s="63"/>
      <c r="C49" s="64">
        <f t="shared" si="1"/>
        <v>443</v>
      </c>
      <c r="D49" s="29">
        <f t="shared" si="2"/>
        <v>430</v>
      </c>
      <c r="E49" s="22">
        <f t="shared" si="9"/>
        <v>70678.004829642246</v>
      </c>
      <c r="F49" s="55">
        <f t="shared" si="4"/>
        <v>70678.004829642246</v>
      </c>
      <c r="G49" s="22">
        <f t="shared" si="10"/>
        <v>0</v>
      </c>
      <c r="H49" s="55">
        <f t="shared" si="5"/>
        <v>0</v>
      </c>
      <c r="I49" s="55">
        <f t="shared" si="3"/>
        <v>142762170.19482964</v>
      </c>
      <c r="J49" s="55">
        <f>((A49-A43)/(A49-A43))*$H$18</f>
        <v>0</v>
      </c>
      <c r="K49" s="55" t="b">
        <f>H9=I49-G49-E49</f>
        <v>0</v>
      </c>
      <c r="L49" s="30">
        <v>97.132788000000005</v>
      </c>
      <c r="M49" s="14">
        <f t="shared" si="11"/>
        <v>-3888738.1354999929</v>
      </c>
      <c r="N49" s="14">
        <f t="shared" si="13"/>
        <v>-3959416.1403296352</v>
      </c>
      <c r="O49" s="14">
        <f t="shared" si="0"/>
        <v>0</v>
      </c>
      <c r="P49" s="27">
        <f t="shared" si="7"/>
        <v>138802754.05450001</v>
      </c>
      <c r="Q49" s="3"/>
      <c r="R49" s="3"/>
      <c r="S49" s="3"/>
      <c r="T49" s="3"/>
      <c r="U49" s="3"/>
      <c r="V49" s="25">
        <v>6.8199999999999999E-4</v>
      </c>
      <c r="W49" s="3">
        <v>0.6</v>
      </c>
      <c r="X49" s="26">
        <f t="shared" si="8"/>
        <v>0</v>
      </c>
      <c r="Y49" s="26">
        <f t="shared" si="12"/>
        <v>-58389.36</v>
      </c>
      <c r="Z49" s="3"/>
    </row>
    <row r="50" spans="1:26" x14ac:dyDescent="0.25">
      <c r="A50" s="28">
        <v>46630</v>
      </c>
      <c r="B50" s="63"/>
      <c r="C50" s="64">
        <f t="shared" si="1"/>
        <v>474</v>
      </c>
      <c r="D50" s="29">
        <f t="shared" si="2"/>
        <v>461</v>
      </c>
      <c r="E50" s="22">
        <f t="shared" si="9"/>
        <v>75623.869727427591</v>
      </c>
      <c r="F50" s="55">
        <f t="shared" si="4"/>
        <v>75623.869727427591</v>
      </c>
      <c r="G50" s="22">
        <f t="shared" si="10"/>
        <v>0</v>
      </c>
      <c r="H50" s="55">
        <f t="shared" si="5"/>
        <v>0</v>
      </c>
      <c r="I50" s="55">
        <f t="shared" si="3"/>
        <v>142767116.05972743</v>
      </c>
      <c r="J50" s="55">
        <f>((A50-A49)/(A55-A49))*$H$18</f>
        <v>0</v>
      </c>
      <c r="K50" s="55">
        <f t="shared" si="6"/>
        <v>142691492.19</v>
      </c>
      <c r="L50" s="30">
        <v>97.132788000000005</v>
      </c>
      <c r="M50" s="14">
        <f t="shared" si="11"/>
        <v>-3888738.1354999929</v>
      </c>
      <c r="N50" s="14">
        <f t="shared" si="13"/>
        <v>-3964362.0052274205</v>
      </c>
      <c r="O50" s="14">
        <f t="shared" si="0"/>
        <v>138600224.59999999</v>
      </c>
      <c r="P50" s="27">
        <f t="shared" si="7"/>
        <v>202529.45450001443</v>
      </c>
      <c r="Q50" s="3"/>
      <c r="R50" s="3"/>
      <c r="S50" s="3"/>
      <c r="T50" s="3"/>
      <c r="U50" s="3"/>
      <c r="V50" s="25">
        <v>6.8199999999999999E-4</v>
      </c>
      <c r="W50" s="3">
        <v>0.6</v>
      </c>
      <c r="X50" s="26">
        <f t="shared" si="8"/>
        <v>58389.36</v>
      </c>
      <c r="Y50" s="26">
        <f t="shared" si="12"/>
        <v>58389.36</v>
      </c>
      <c r="Z50" s="3"/>
    </row>
    <row r="51" spans="1:26" x14ac:dyDescent="0.25">
      <c r="A51" s="28">
        <v>46660</v>
      </c>
      <c r="B51" s="63"/>
      <c r="C51" s="64">
        <f t="shared" si="1"/>
        <v>504</v>
      </c>
      <c r="D51" s="29">
        <f t="shared" si="2"/>
        <v>491</v>
      </c>
      <c r="E51" s="22">
        <f t="shared" si="9"/>
        <v>80410.190596252127</v>
      </c>
      <c r="F51" s="55">
        <f t="shared" si="4"/>
        <v>80410.190596252127</v>
      </c>
      <c r="G51" s="22">
        <f t="shared" si="10"/>
        <v>0</v>
      </c>
      <c r="H51" s="55">
        <f t="shared" si="5"/>
        <v>0</v>
      </c>
      <c r="I51" s="55">
        <f t="shared" si="3"/>
        <v>142771902.38059625</v>
      </c>
      <c r="J51" s="55">
        <f>((A51-A49)/(A55-A49))*$H$18</f>
        <v>0</v>
      </c>
      <c r="K51" s="55">
        <f t="shared" si="6"/>
        <v>142691492.19</v>
      </c>
      <c r="L51" s="30">
        <v>97.132788000000005</v>
      </c>
      <c r="M51" s="14">
        <f t="shared" si="11"/>
        <v>-3888738.1354999929</v>
      </c>
      <c r="N51" s="14">
        <f t="shared" si="13"/>
        <v>-3969148.3260962451</v>
      </c>
      <c r="O51" s="14">
        <f t="shared" si="0"/>
        <v>138600224.59999999</v>
      </c>
      <c r="P51" s="27">
        <f t="shared" si="7"/>
        <v>202529.454500019</v>
      </c>
      <c r="Q51" s="3"/>
      <c r="R51" s="3"/>
      <c r="S51" s="3"/>
      <c r="T51" s="3"/>
      <c r="U51" s="3"/>
      <c r="V51" s="25">
        <v>6.8199999999999999E-4</v>
      </c>
      <c r="W51" s="3">
        <v>0.6</v>
      </c>
      <c r="X51" s="26">
        <f t="shared" si="8"/>
        <v>58389.36</v>
      </c>
      <c r="Y51" s="26">
        <f t="shared" si="12"/>
        <v>0</v>
      </c>
      <c r="Z51" s="3"/>
    </row>
    <row r="52" spans="1:26" x14ac:dyDescent="0.25">
      <c r="A52" s="28">
        <v>46691</v>
      </c>
      <c r="B52" s="63"/>
      <c r="C52" s="64">
        <f t="shared" si="1"/>
        <v>535</v>
      </c>
      <c r="D52" s="29">
        <f t="shared" si="2"/>
        <v>522</v>
      </c>
      <c r="E52" s="22">
        <f t="shared" si="9"/>
        <v>85356.055494037471</v>
      </c>
      <c r="F52" s="55">
        <f t="shared" si="4"/>
        <v>85356.055494037471</v>
      </c>
      <c r="G52" s="22">
        <f t="shared" si="10"/>
        <v>0</v>
      </c>
      <c r="H52" s="55">
        <f t="shared" si="5"/>
        <v>0</v>
      </c>
      <c r="I52" s="55">
        <f t="shared" si="3"/>
        <v>142776848.24549404</v>
      </c>
      <c r="J52" s="55">
        <f>((A52-A49)/(A55-A49))*$H$18</f>
        <v>0</v>
      </c>
      <c r="K52" s="55">
        <f t="shared" si="6"/>
        <v>142691492.19</v>
      </c>
      <c r="L52" s="30">
        <v>97.132788000000005</v>
      </c>
      <c r="M52" s="14">
        <f t="shared" si="11"/>
        <v>-3888738.1354999929</v>
      </c>
      <c r="N52" s="14">
        <f t="shared" si="13"/>
        <v>-3974094.1909940303</v>
      </c>
      <c r="O52" s="14">
        <f t="shared" si="0"/>
        <v>138600224.59999999</v>
      </c>
      <c r="P52" s="27">
        <f t="shared" si="7"/>
        <v>202529.45450001676</v>
      </c>
      <c r="Q52" s="3"/>
      <c r="R52" s="3"/>
      <c r="S52" s="3"/>
      <c r="T52" s="3"/>
      <c r="U52" s="3"/>
      <c r="V52" s="25">
        <v>6.8199999999999999E-4</v>
      </c>
      <c r="W52" s="3">
        <v>0.6</v>
      </c>
      <c r="X52" s="26">
        <f t="shared" si="8"/>
        <v>58389.36</v>
      </c>
      <c r="Y52" s="26">
        <f t="shared" si="12"/>
        <v>0</v>
      </c>
      <c r="Z52" s="3"/>
    </row>
    <row r="53" spans="1:26" x14ac:dyDescent="0.25">
      <c r="A53" s="28">
        <v>46721</v>
      </c>
      <c r="B53" s="63"/>
      <c r="C53" s="64">
        <f t="shared" si="1"/>
        <v>565</v>
      </c>
      <c r="D53" s="29">
        <f t="shared" si="2"/>
        <v>552</v>
      </c>
      <c r="E53" s="22">
        <f t="shared" si="9"/>
        <v>90142.376362862007</v>
      </c>
      <c r="F53" s="55">
        <f t="shared" si="4"/>
        <v>90142.376362862007</v>
      </c>
      <c r="G53" s="22">
        <f t="shared" si="10"/>
        <v>0</v>
      </c>
      <c r="H53" s="55">
        <f t="shared" si="5"/>
        <v>0</v>
      </c>
      <c r="I53" s="55">
        <f t="shared" si="3"/>
        <v>142781634.56636286</v>
      </c>
      <c r="J53" s="55">
        <f>((A53-A49)/(A55-A49))*$H$18</f>
        <v>0</v>
      </c>
      <c r="K53" s="55">
        <f t="shared" si="6"/>
        <v>142691492.19</v>
      </c>
      <c r="L53" s="30">
        <v>97.132788000000005</v>
      </c>
      <c r="M53" s="14">
        <f t="shared" si="11"/>
        <v>-3888738.1354999929</v>
      </c>
      <c r="N53" s="14">
        <f t="shared" si="13"/>
        <v>-3978880.5118628549</v>
      </c>
      <c r="O53" s="14">
        <f t="shared" si="0"/>
        <v>138600224.59999999</v>
      </c>
      <c r="P53" s="27">
        <f t="shared" si="7"/>
        <v>202529.45450002135</v>
      </c>
      <c r="Q53" s="3"/>
      <c r="R53" s="3"/>
      <c r="S53" s="3"/>
      <c r="T53" s="3"/>
      <c r="U53" s="3"/>
      <c r="V53" s="25">
        <v>6.8199999999999999E-4</v>
      </c>
      <c r="W53" s="3">
        <v>0.6</v>
      </c>
      <c r="X53" s="26">
        <f t="shared" si="8"/>
        <v>58389.36</v>
      </c>
      <c r="Y53" s="26">
        <f>+X53-X52</f>
        <v>0</v>
      </c>
      <c r="Z53" s="3"/>
    </row>
    <row r="54" spans="1:26" x14ac:dyDescent="0.25">
      <c r="A54" s="28">
        <v>46752</v>
      </c>
      <c r="B54" s="63"/>
      <c r="C54" s="64">
        <f t="shared" si="1"/>
        <v>596</v>
      </c>
      <c r="D54" s="29">
        <f t="shared" si="2"/>
        <v>583</v>
      </c>
      <c r="E54" s="22">
        <f t="shared" si="9"/>
        <v>95088.241260647352</v>
      </c>
      <c r="F54" s="55">
        <f t="shared" si="4"/>
        <v>95088.241260647352</v>
      </c>
      <c r="G54" s="22">
        <f t="shared" si="10"/>
        <v>0</v>
      </c>
      <c r="H54" s="55">
        <f t="shared" si="5"/>
        <v>0</v>
      </c>
      <c r="I54" s="55">
        <f t="shared" si="3"/>
        <v>142786580.43126065</v>
      </c>
      <c r="J54" s="55">
        <f>((A54-A49)/(A55-A49))*$H$18</f>
        <v>0</v>
      </c>
      <c r="K54" s="55">
        <f t="shared" si="6"/>
        <v>142691492.19</v>
      </c>
      <c r="L54" s="30">
        <v>97.132788000000005</v>
      </c>
      <c r="M54" s="14">
        <f t="shared" si="11"/>
        <v>-3888738.1354999929</v>
      </c>
      <c r="N54" s="14">
        <f t="shared" si="13"/>
        <v>-3983826.3767606402</v>
      </c>
      <c r="O54" s="14">
        <f t="shared" si="0"/>
        <v>138600224.59999999</v>
      </c>
      <c r="P54" s="27">
        <f t="shared" si="7"/>
        <v>202529.45450001914</v>
      </c>
      <c r="Q54" s="3"/>
      <c r="R54" s="3"/>
      <c r="S54" s="3"/>
      <c r="T54" s="3"/>
      <c r="U54" s="3"/>
      <c r="V54" s="25">
        <v>6.8199999999999999E-4</v>
      </c>
      <c r="W54" s="3">
        <v>0.6</v>
      </c>
      <c r="X54" s="26">
        <f t="shared" si="8"/>
        <v>58389.36</v>
      </c>
      <c r="Y54" s="26">
        <f t="shared" si="12"/>
        <v>0</v>
      </c>
      <c r="Z54" s="3"/>
    </row>
    <row r="55" spans="1:26" x14ac:dyDescent="0.25">
      <c r="A55" s="31">
        <v>46783</v>
      </c>
      <c r="B55" s="63"/>
      <c r="C55" s="64">
        <f t="shared" si="1"/>
        <v>627</v>
      </c>
      <c r="D55" s="29">
        <f t="shared" si="2"/>
        <v>614</v>
      </c>
      <c r="E55" s="22">
        <f t="shared" si="9"/>
        <v>100034.10615843271</v>
      </c>
      <c r="F55" s="55">
        <f t="shared" si="4"/>
        <v>100034.10615843271</v>
      </c>
      <c r="G55" s="22">
        <f t="shared" si="10"/>
        <v>0</v>
      </c>
      <c r="H55" s="55">
        <f t="shared" si="5"/>
        <v>0</v>
      </c>
      <c r="I55" s="55">
        <f t="shared" si="3"/>
        <v>142791526.29615843</v>
      </c>
      <c r="J55" s="55">
        <f>((A55-A49)/(A55-A49))*$H$18</f>
        <v>0</v>
      </c>
      <c r="K55" s="55">
        <f t="shared" si="6"/>
        <v>142691492.19</v>
      </c>
      <c r="L55" s="30">
        <v>99</v>
      </c>
      <c r="M55" s="14">
        <f t="shared" si="11"/>
        <v>-1220492.1875</v>
      </c>
      <c r="N55" s="14">
        <f t="shared" si="13"/>
        <v>-1320526.2936584328</v>
      </c>
      <c r="O55" s="14">
        <f t="shared" si="0"/>
        <v>141264577.27000001</v>
      </c>
      <c r="P55" s="27">
        <f t="shared" si="7"/>
        <v>206422.73249998427</v>
      </c>
      <c r="Q55" s="3"/>
      <c r="R55" s="3"/>
      <c r="S55" s="3"/>
      <c r="T55" s="3"/>
      <c r="U55" s="3"/>
      <c r="V55" s="25">
        <v>6.8199999999999999E-4</v>
      </c>
      <c r="W55" s="3">
        <v>0.6</v>
      </c>
      <c r="X55" s="26">
        <f t="shared" si="8"/>
        <v>58389.36</v>
      </c>
      <c r="Y55" s="26">
        <f t="shared" si="12"/>
        <v>0</v>
      </c>
      <c r="Z55" s="3"/>
    </row>
    <row r="56" spans="1:26" x14ac:dyDescent="0.25">
      <c r="A56" s="28">
        <v>46812</v>
      </c>
      <c r="B56" s="63"/>
      <c r="C56" s="64">
        <f t="shared" si="1"/>
        <v>656</v>
      </c>
      <c r="D56" s="29">
        <f t="shared" si="2"/>
        <v>643</v>
      </c>
      <c r="E56" s="22">
        <f t="shared" si="9"/>
        <v>104660.88299829642</v>
      </c>
      <c r="F56" s="55">
        <f t="shared" si="4"/>
        <v>104660.88299829642</v>
      </c>
      <c r="G56" s="22">
        <f t="shared" si="10"/>
        <v>0</v>
      </c>
      <c r="H56" s="55">
        <f t="shared" si="5"/>
        <v>0</v>
      </c>
      <c r="I56" s="55">
        <f t="shared" si="3"/>
        <v>142796153.07299829</v>
      </c>
      <c r="J56" s="55">
        <f>((A56-A55)/(A61-A55))*$H$18</f>
        <v>0</v>
      </c>
      <c r="K56" s="55">
        <f t="shared" si="6"/>
        <v>142691492.19</v>
      </c>
      <c r="L56" s="30">
        <v>97.132788000000005</v>
      </c>
      <c r="M56" s="14">
        <f t="shared" si="11"/>
        <v>-3888738.1354999929</v>
      </c>
      <c r="N56" s="14">
        <f t="shared" si="13"/>
        <v>-3993399.0184982894</v>
      </c>
      <c r="O56" s="14">
        <f t="shared" si="0"/>
        <v>138600224.59999999</v>
      </c>
      <c r="P56" s="27">
        <f t="shared" si="7"/>
        <v>202529.45449999848</v>
      </c>
      <c r="Q56" s="3"/>
      <c r="R56" s="3"/>
      <c r="S56" s="3"/>
      <c r="T56" s="3"/>
      <c r="U56" s="3"/>
      <c r="V56" s="25">
        <v>6.8199999999999999E-4</v>
      </c>
      <c r="W56" s="3">
        <v>0.6</v>
      </c>
      <c r="X56" s="26">
        <f t="shared" si="8"/>
        <v>58389.36</v>
      </c>
      <c r="Y56" s="26">
        <f t="shared" si="12"/>
        <v>0</v>
      </c>
      <c r="Z56" s="3"/>
    </row>
    <row r="57" spans="1:26" x14ac:dyDescent="0.25">
      <c r="A57" s="28">
        <v>46843</v>
      </c>
      <c r="B57" s="63"/>
      <c r="C57" s="64">
        <f t="shared" si="1"/>
        <v>687</v>
      </c>
      <c r="D57" s="29">
        <f t="shared" si="2"/>
        <v>674</v>
      </c>
      <c r="E57" s="22">
        <f t="shared" si="9"/>
        <v>109606.74789608177</v>
      </c>
      <c r="F57" s="55">
        <f t="shared" si="4"/>
        <v>109606.74789608177</v>
      </c>
      <c r="G57" s="22">
        <f t="shared" si="10"/>
        <v>0</v>
      </c>
      <c r="H57" s="55">
        <f t="shared" si="5"/>
        <v>0</v>
      </c>
      <c r="I57" s="55">
        <f t="shared" si="3"/>
        <v>142801098.93789607</v>
      </c>
      <c r="J57" s="55">
        <f>((A57-A55)/(A61-A55))*$H$18</f>
        <v>0</v>
      </c>
      <c r="K57" s="55">
        <f t="shared" si="6"/>
        <v>142691492.19</v>
      </c>
      <c r="L57" s="30">
        <v>97.132788000000005</v>
      </c>
      <c r="M57" s="14">
        <f t="shared" si="11"/>
        <v>-3888738.1354999929</v>
      </c>
      <c r="N57" s="14">
        <f t="shared" si="13"/>
        <v>-3998344.8833960746</v>
      </c>
      <c r="O57" s="14">
        <f t="shared" si="0"/>
        <v>138600224.59999999</v>
      </c>
      <c r="P57" s="27">
        <f t="shared" si="7"/>
        <v>202529.45449999627</v>
      </c>
      <c r="Q57" s="3"/>
      <c r="R57" s="3"/>
      <c r="S57" s="3"/>
      <c r="T57" s="3"/>
      <c r="U57" s="3"/>
      <c r="V57" s="25">
        <v>6.8199999999999999E-4</v>
      </c>
      <c r="W57" s="3">
        <v>0.6</v>
      </c>
      <c r="X57" s="26">
        <f t="shared" si="8"/>
        <v>58389.36</v>
      </c>
      <c r="Y57" s="26">
        <f t="shared" si="12"/>
        <v>0</v>
      </c>
      <c r="Z57" s="3"/>
    </row>
    <row r="58" spans="1:26" x14ac:dyDescent="0.25">
      <c r="A58" s="28">
        <v>46873</v>
      </c>
      <c r="B58" s="63"/>
      <c r="C58" s="64">
        <f t="shared" si="1"/>
        <v>717</v>
      </c>
      <c r="D58" s="29">
        <f t="shared" si="2"/>
        <v>704</v>
      </c>
      <c r="E58" s="22">
        <f t="shared" si="9"/>
        <v>114393.0687649063</v>
      </c>
      <c r="F58" s="55">
        <f t="shared" si="4"/>
        <v>114393.0687649063</v>
      </c>
      <c r="G58" s="22">
        <f t="shared" si="10"/>
        <v>0</v>
      </c>
      <c r="H58" s="55">
        <f t="shared" si="5"/>
        <v>0</v>
      </c>
      <c r="I58" s="55">
        <f t="shared" si="3"/>
        <v>142805885.25876489</v>
      </c>
      <c r="J58" s="55">
        <f>((A58-A55)/(A61-A55))*$H$18</f>
        <v>0</v>
      </c>
      <c r="K58" s="55">
        <f t="shared" si="6"/>
        <v>142691492.19</v>
      </c>
      <c r="L58" s="30">
        <v>97.132788000000005</v>
      </c>
      <c r="M58" s="14">
        <f t="shared" si="11"/>
        <v>-3888738.1354999929</v>
      </c>
      <c r="N58" s="14">
        <f t="shared" si="13"/>
        <v>-4003131.2042648993</v>
      </c>
      <c r="O58" s="14">
        <f t="shared" si="0"/>
        <v>138600224.59999999</v>
      </c>
      <c r="P58" s="27">
        <f t="shared" si="7"/>
        <v>202529.45450000087</v>
      </c>
      <c r="Q58" s="3"/>
      <c r="R58" s="3"/>
      <c r="S58" s="3"/>
      <c r="T58" s="3"/>
      <c r="U58" s="3"/>
      <c r="V58" s="25">
        <v>6.8199999999999999E-4</v>
      </c>
      <c r="W58" s="3">
        <v>0.6</v>
      </c>
      <c r="X58" s="26">
        <f t="shared" si="8"/>
        <v>58389.36</v>
      </c>
      <c r="Y58" s="26">
        <f t="shared" si="12"/>
        <v>0</v>
      </c>
      <c r="Z58" s="3"/>
    </row>
    <row r="59" spans="1:26" x14ac:dyDescent="0.25">
      <c r="A59" s="28">
        <v>46904</v>
      </c>
      <c r="B59" s="63"/>
      <c r="C59" s="64">
        <f t="shared" si="1"/>
        <v>748</v>
      </c>
      <c r="D59" s="29">
        <f t="shared" si="2"/>
        <v>735</v>
      </c>
      <c r="E59" s="22">
        <f t="shared" si="9"/>
        <v>119338.93366269165</v>
      </c>
      <c r="F59" s="55">
        <f t="shared" si="4"/>
        <v>119338.93366269165</v>
      </c>
      <c r="G59" s="22">
        <f t="shared" si="10"/>
        <v>0</v>
      </c>
      <c r="H59" s="55">
        <f t="shared" si="5"/>
        <v>0</v>
      </c>
      <c r="I59" s="55">
        <f t="shared" si="3"/>
        <v>142810831.12366268</v>
      </c>
      <c r="J59" s="55">
        <f>((A59-A55)/(A61-A55))*$H$18</f>
        <v>0</v>
      </c>
      <c r="K59" s="55">
        <f t="shared" si="6"/>
        <v>142691492.19</v>
      </c>
      <c r="L59" s="30">
        <v>97.132788000000005</v>
      </c>
      <c r="M59" s="14">
        <f t="shared" si="11"/>
        <v>-3888738.1354999929</v>
      </c>
      <c r="N59" s="14">
        <f t="shared" si="13"/>
        <v>-4008077.0691626845</v>
      </c>
      <c r="O59" s="14">
        <f t="shared" si="0"/>
        <v>138600224.59999999</v>
      </c>
      <c r="P59" s="27">
        <f t="shared" si="7"/>
        <v>202529.45449999862</v>
      </c>
      <c r="Q59" s="3"/>
      <c r="R59" s="3"/>
      <c r="S59" s="3"/>
      <c r="T59" s="3"/>
      <c r="U59" s="3"/>
      <c r="V59" s="25">
        <v>6.8199999999999999E-4</v>
      </c>
      <c r="W59" s="3">
        <v>0.6</v>
      </c>
      <c r="X59" s="26">
        <f t="shared" si="8"/>
        <v>58389.36</v>
      </c>
      <c r="Y59" s="26">
        <f t="shared" si="12"/>
        <v>0</v>
      </c>
      <c r="Z59" s="3"/>
    </row>
    <row r="60" spans="1:26" x14ac:dyDescent="0.25">
      <c r="A60" s="28">
        <v>46934</v>
      </c>
      <c r="B60" s="63"/>
      <c r="C60" s="64">
        <f t="shared" si="1"/>
        <v>778</v>
      </c>
      <c r="D60" s="29">
        <f t="shared" si="2"/>
        <v>765</v>
      </c>
      <c r="E60" s="22">
        <f t="shared" si="9"/>
        <v>124125.25453151618</v>
      </c>
      <c r="F60" s="55">
        <f t="shared" si="4"/>
        <v>124125.25453151618</v>
      </c>
      <c r="G60" s="22">
        <f t="shared" si="10"/>
        <v>0</v>
      </c>
      <c r="H60" s="55">
        <f t="shared" si="5"/>
        <v>0</v>
      </c>
      <c r="I60" s="55">
        <f t="shared" si="3"/>
        <v>142815617.4445315</v>
      </c>
      <c r="J60" s="55">
        <f>((A60-A55)/(A61-A55))*$H$18</f>
        <v>0</v>
      </c>
      <c r="K60" s="55">
        <f t="shared" si="6"/>
        <v>142691492.19</v>
      </c>
      <c r="L60" s="30">
        <v>97.132788000000005</v>
      </c>
      <c r="M60" s="14">
        <f t="shared" si="11"/>
        <v>-3888738.1354999929</v>
      </c>
      <c r="N60" s="14">
        <f t="shared" si="13"/>
        <v>-4012863.3900315091</v>
      </c>
      <c r="O60" s="14">
        <f t="shared" si="0"/>
        <v>138600224.59999999</v>
      </c>
      <c r="P60" s="27">
        <f t="shared" si="7"/>
        <v>202529.45450000319</v>
      </c>
      <c r="Q60" s="3"/>
      <c r="R60" s="3"/>
      <c r="S60" s="3"/>
      <c r="T60" s="3"/>
      <c r="U60" s="3"/>
      <c r="V60" s="25">
        <v>6.8199999999999999E-4</v>
      </c>
      <c r="W60" s="3">
        <v>0.6</v>
      </c>
      <c r="X60" s="26">
        <f t="shared" si="8"/>
        <v>58389.36</v>
      </c>
      <c r="Y60" s="26">
        <f t="shared" si="12"/>
        <v>0</v>
      </c>
      <c r="Z60" s="3"/>
    </row>
    <row r="61" spans="1:26" x14ac:dyDescent="0.25">
      <c r="A61" s="31">
        <v>46965</v>
      </c>
      <c r="B61" s="63"/>
      <c r="C61" s="64">
        <f t="shared" si="1"/>
        <v>809</v>
      </c>
      <c r="D61" s="29">
        <f t="shared" si="2"/>
        <v>796</v>
      </c>
      <c r="E61" s="22">
        <f t="shared" si="9"/>
        <v>129071.11942930153</v>
      </c>
      <c r="F61" s="55">
        <f t="shared" si="4"/>
        <v>129071.11942930153</v>
      </c>
      <c r="G61" s="22">
        <f t="shared" si="10"/>
        <v>0</v>
      </c>
      <c r="H61" s="55">
        <f t="shared" si="5"/>
        <v>0</v>
      </c>
      <c r="I61" s="55">
        <f t="shared" si="3"/>
        <v>142820563.30942929</v>
      </c>
      <c r="J61" s="55">
        <f>((A61-A55)/(A61-A55))*$H$18</f>
        <v>0</v>
      </c>
      <c r="K61" s="55">
        <f t="shared" si="6"/>
        <v>142691492.19</v>
      </c>
      <c r="L61" s="30">
        <v>97.132788000000005</v>
      </c>
      <c r="M61" s="14">
        <f t="shared" si="11"/>
        <v>-3888738.1354999929</v>
      </c>
      <c r="N61" s="14">
        <f t="shared" si="13"/>
        <v>-4017809.2549292943</v>
      </c>
      <c r="O61" s="14">
        <f t="shared" si="0"/>
        <v>138600224.59999999</v>
      </c>
      <c r="P61" s="27">
        <f t="shared" si="7"/>
        <v>202529.45450000098</v>
      </c>
      <c r="Q61" s="3"/>
      <c r="R61" s="3"/>
      <c r="S61" s="3"/>
      <c r="T61" s="3"/>
      <c r="U61" s="3"/>
      <c r="V61" s="25">
        <v>6.8199999999999999E-4</v>
      </c>
      <c r="W61" s="3">
        <v>0.6</v>
      </c>
      <c r="X61" s="26">
        <f t="shared" si="8"/>
        <v>58389.36</v>
      </c>
      <c r="Y61" s="26">
        <f t="shared" si="12"/>
        <v>0</v>
      </c>
      <c r="Z61" s="3"/>
    </row>
    <row r="62" spans="1:26" x14ac:dyDescent="0.25">
      <c r="A62" s="28">
        <v>46996</v>
      </c>
      <c r="B62" s="63"/>
      <c r="C62" s="64">
        <f t="shared" si="1"/>
        <v>840</v>
      </c>
      <c r="D62" s="29">
        <f t="shared" si="2"/>
        <v>827</v>
      </c>
      <c r="E62" s="22">
        <f t="shared" si="9"/>
        <v>134016.98432708689</v>
      </c>
      <c r="F62" s="55">
        <f t="shared" si="4"/>
        <v>134016.98432708689</v>
      </c>
      <c r="G62" s="22">
        <f t="shared" si="10"/>
        <v>0</v>
      </c>
      <c r="H62" s="55">
        <f t="shared" si="5"/>
        <v>0</v>
      </c>
      <c r="I62" s="55">
        <f t="shared" si="3"/>
        <v>142825509.17432708</v>
      </c>
      <c r="J62" s="55">
        <f>((A62-A61)/(A67-A61))*$H$18</f>
        <v>0</v>
      </c>
      <c r="K62" s="55">
        <f t="shared" si="6"/>
        <v>142691492.19</v>
      </c>
      <c r="L62" s="30">
        <v>97.132788000000005</v>
      </c>
      <c r="M62" s="14">
        <f t="shared" si="11"/>
        <v>-3888738.1354999929</v>
      </c>
      <c r="N62" s="14">
        <f t="shared" si="13"/>
        <v>-4022755.1198270796</v>
      </c>
      <c r="O62" s="14">
        <f t="shared" si="0"/>
        <v>138600224.59999999</v>
      </c>
      <c r="P62" s="27">
        <f t="shared" si="7"/>
        <v>202529.45449999877</v>
      </c>
      <c r="Q62" s="3"/>
      <c r="R62" s="3"/>
      <c r="S62" s="3"/>
      <c r="T62" s="3"/>
      <c r="U62" s="3"/>
      <c r="V62" s="25">
        <v>6.8199999999999999E-4</v>
      </c>
      <c r="W62" s="3">
        <v>0.6</v>
      </c>
      <c r="X62" s="26">
        <f t="shared" si="8"/>
        <v>58389.36</v>
      </c>
      <c r="Y62" s="26">
        <f t="shared" si="12"/>
        <v>0</v>
      </c>
      <c r="Z62" s="3"/>
    </row>
    <row r="63" spans="1:26" x14ac:dyDescent="0.25">
      <c r="A63" s="28">
        <v>47026</v>
      </c>
      <c r="B63" s="63"/>
      <c r="C63" s="64">
        <f t="shared" si="1"/>
        <v>870</v>
      </c>
      <c r="D63" s="29">
        <f t="shared" si="2"/>
        <v>857</v>
      </c>
      <c r="E63" s="22">
        <f t="shared" si="9"/>
        <v>138803.30519591141</v>
      </c>
      <c r="F63" s="55">
        <f t="shared" si="4"/>
        <v>138803.30519591141</v>
      </c>
      <c r="G63" s="22">
        <f t="shared" si="10"/>
        <v>0</v>
      </c>
      <c r="H63" s="55">
        <f t="shared" si="5"/>
        <v>0</v>
      </c>
      <c r="I63" s="55">
        <f t="shared" si="3"/>
        <v>142830295.4951959</v>
      </c>
      <c r="J63" s="55">
        <f>((A63-A61)/(A67-A61))*$H$18</f>
        <v>0</v>
      </c>
      <c r="K63" s="55">
        <f t="shared" si="6"/>
        <v>142691492.19</v>
      </c>
      <c r="L63" s="30">
        <v>97.132788000000005</v>
      </c>
      <c r="M63" s="14">
        <f t="shared" si="11"/>
        <v>-3888738.1354999929</v>
      </c>
      <c r="N63" s="14">
        <f t="shared" si="13"/>
        <v>-4027541.4406959042</v>
      </c>
      <c r="O63" s="14">
        <f t="shared" si="0"/>
        <v>138600224.59999999</v>
      </c>
      <c r="P63" s="27">
        <f t="shared" si="7"/>
        <v>202529.45450000334</v>
      </c>
      <c r="Q63" s="3"/>
      <c r="R63" s="3"/>
      <c r="S63" s="3"/>
      <c r="T63" s="3"/>
      <c r="U63" s="3"/>
      <c r="V63" s="25">
        <v>6.8199999999999999E-4</v>
      </c>
      <c r="W63" s="3">
        <v>0.6</v>
      </c>
      <c r="X63" s="26">
        <f t="shared" si="8"/>
        <v>58389.36</v>
      </c>
      <c r="Y63" s="26">
        <f t="shared" si="12"/>
        <v>0</v>
      </c>
      <c r="Z63" s="3"/>
    </row>
    <row r="64" spans="1:26" x14ac:dyDescent="0.25">
      <c r="A64" s="28">
        <v>47057</v>
      </c>
      <c r="B64" s="63"/>
      <c r="C64" s="64">
        <f t="shared" si="1"/>
        <v>901</v>
      </c>
      <c r="D64" s="29">
        <f t="shared" si="2"/>
        <v>888</v>
      </c>
      <c r="E64" s="22">
        <f t="shared" si="9"/>
        <v>143749.17009369677</v>
      </c>
      <c r="F64" s="55">
        <f t="shared" si="4"/>
        <v>143749.17009369677</v>
      </c>
      <c r="G64" s="22">
        <f t="shared" si="10"/>
        <v>0</v>
      </c>
      <c r="H64" s="55">
        <f t="shared" si="5"/>
        <v>0</v>
      </c>
      <c r="I64" s="55">
        <f t="shared" si="3"/>
        <v>142835241.36009368</v>
      </c>
      <c r="J64" s="55">
        <f>((A64-A61)/(A67-A61))*$H$18</f>
        <v>0</v>
      </c>
      <c r="K64" s="55">
        <f t="shared" si="6"/>
        <v>142691492.19</v>
      </c>
      <c r="L64" s="30">
        <v>97.132788000000005</v>
      </c>
      <c r="M64" s="14">
        <f t="shared" si="11"/>
        <v>-3888738.1354999929</v>
      </c>
      <c r="N64" s="14">
        <f t="shared" si="13"/>
        <v>-4032487.3055936894</v>
      </c>
      <c r="O64" s="14">
        <f t="shared" si="0"/>
        <v>138600224.59999999</v>
      </c>
      <c r="P64" s="27">
        <f t="shared" si="7"/>
        <v>202529.45450000113</v>
      </c>
      <c r="Q64" s="3"/>
      <c r="R64" s="3"/>
      <c r="S64" s="3"/>
      <c r="T64" s="3"/>
      <c r="U64" s="3"/>
      <c r="V64" s="25">
        <v>6.8199999999999999E-4</v>
      </c>
      <c r="W64" s="3">
        <v>0.6</v>
      </c>
      <c r="X64" s="26">
        <f t="shared" si="8"/>
        <v>58389.36</v>
      </c>
      <c r="Y64" s="26">
        <f t="shared" si="12"/>
        <v>0</v>
      </c>
      <c r="Z64" s="3"/>
    </row>
    <row r="65" spans="1:26" x14ac:dyDescent="0.25">
      <c r="A65" s="28">
        <v>47087</v>
      </c>
      <c r="B65" s="63"/>
      <c r="C65" s="64">
        <f t="shared" si="1"/>
        <v>931</v>
      </c>
      <c r="D65" s="29">
        <f t="shared" si="2"/>
        <v>918</v>
      </c>
      <c r="E65" s="22">
        <f t="shared" si="9"/>
        <v>148535.49096252129</v>
      </c>
      <c r="F65" s="55">
        <f t="shared" si="4"/>
        <v>148535.49096252129</v>
      </c>
      <c r="G65" s="22">
        <f t="shared" si="10"/>
        <v>0</v>
      </c>
      <c r="H65" s="55">
        <f t="shared" si="5"/>
        <v>0</v>
      </c>
      <c r="I65" s="55">
        <f t="shared" si="3"/>
        <v>142840027.68096253</v>
      </c>
      <c r="J65" s="55">
        <f>((A65-A61)/(A67-A61))*$H$18</f>
        <v>0</v>
      </c>
      <c r="K65" s="55">
        <f t="shared" si="6"/>
        <v>142691492.19</v>
      </c>
      <c r="L65" s="30">
        <v>97.132788000000005</v>
      </c>
      <c r="M65" s="14">
        <f t="shared" si="11"/>
        <v>-3888738.1354999929</v>
      </c>
      <c r="N65" s="14">
        <f t="shared" si="13"/>
        <v>-4037273.626462514</v>
      </c>
      <c r="O65" s="14">
        <f t="shared" si="0"/>
        <v>138600224.59999999</v>
      </c>
      <c r="P65" s="27">
        <f t="shared" si="7"/>
        <v>202529.4545000057</v>
      </c>
      <c r="Q65" s="3"/>
      <c r="R65" s="3"/>
      <c r="S65" s="3"/>
      <c r="T65" s="3"/>
      <c r="U65" s="3"/>
      <c r="V65" s="25">
        <v>6.8199999999999999E-4</v>
      </c>
      <c r="W65" s="3">
        <v>0.6</v>
      </c>
      <c r="X65" s="26">
        <f t="shared" si="8"/>
        <v>58389.36</v>
      </c>
      <c r="Y65" s="26">
        <f t="shared" si="12"/>
        <v>0</v>
      </c>
      <c r="Z65" s="3"/>
    </row>
    <row r="66" spans="1:26" x14ac:dyDescent="0.25">
      <c r="A66" s="28">
        <v>47118</v>
      </c>
      <c r="B66" s="63"/>
      <c r="C66" s="64">
        <f t="shared" si="1"/>
        <v>962</v>
      </c>
      <c r="D66" s="29">
        <f t="shared" si="2"/>
        <v>949</v>
      </c>
      <c r="E66" s="22">
        <f t="shared" si="9"/>
        <v>153481.35586030665</v>
      </c>
      <c r="F66" s="55">
        <f t="shared" si="4"/>
        <v>153481.35586030665</v>
      </c>
      <c r="G66" s="22">
        <f t="shared" si="10"/>
        <v>0</v>
      </c>
      <c r="H66" s="55">
        <f t="shared" si="5"/>
        <v>0</v>
      </c>
      <c r="I66" s="55">
        <f t="shared" si="3"/>
        <v>142844973.54586029</v>
      </c>
      <c r="J66" s="55">
        <f>((A66-A61)/(A67-A61))*$H$18</f>
        <v>0</v>
      </c>
      <c r="K66" s="55">
        <f t="shared" si="6"/>
        <v>142691492.19</v>
      </c>
      <c r="L66" s="30">
        <v>97.132788000000005</v>
      </c>
      <c r="M66" s="14">
        <f t="shared" si="11"/>
        <v>-3888738.1354999929</v>
      </c>
      <c r="N66" s="14">
        <f t="shared" si="13"/>
        <v>-4042219.4913602993</v>
      </c>
      <c r="O66" s="14">
        <f t="shared" si="0"/>
        <v>138600224.59999999</v>
      </c>
      <c r="P66" s="27">
        <f t="shared" si="7"/>
        <v>202529.45450000349</v>
      </c>
      <c r="Q66" s="3"/>
      <c r="R66" s="3"/>
      <c r="S66" s="3"/>
      <c r="T66" s="3"/>
      <c r="U66" s="3"/>
      <c r="V66" s="25">
        <v>6.8199999999999999E-4</v>
      </c>
      <c r="W66" s="3">
        <v>0.6</v>
      </c>
      <c r="X66" s="26">
        <f t="shared" si="8"/>
        <v>58389.36</v>
      </c>
      <c r="Y66" s="26">
        <f t="shared" si="12"/>
        <v>0</v>
      </c>
      <c r="Z66" s="3"/>
    </row>
    <row r="67" spans="1:26" x14ac:dyDescent="0.25">
      <c r="A67" s="31">
        <v>47149</v>
      </c>
      <c r="B67" s="63"/>
      <c r="C67" s="64">
        <f t="shared" si="1"/>
        <v>993</v>
      </c>
      <c r="D67" s="29">
        <f t="shared" si="2"/>
        <v>980</v>
      </c>
      <c r="E67" s="22">
        <f t="shared" si="9"/>
        <v>158427.22075809198</v>
      </c>
      <c r="F67" s="55">
        <f t="shared" si="4"/>
        <v>158427.22075809198</v>
      </c>
      <c r="G67" s="22">
        <f t="shared" si="10"/>
        <v>0</v>
      </c>
      <c r="H67" s="55">
        <f t="shared" si="5"/>
        <v>0</v>
      </c>
      <c r="I67" s="55">
        <f t="shared" si="3"/>
        <v>142849919.41075808</v>
      </c>
      <c r="J67" s="55">
        <f>((A67-A61)/(A67-A61))*$H$18</f>
        <v>0</v>
      </c>
      <c r="K67" s="55">
        <f t="shared" si="6"/>
        <v>142691492.19</v>
      </c>
      <c r="L67" s="30">
        <v>97.132788000000005</v>
      </c>
      <c r="M67" s="14">
        <f t="shared" si="11"/>
        <v>-3888738.1354999929</v>
      </c>
      <c r="N67" s="14">
        <f t="shared" si="13"/>
        <v>-4047165.356258085</v>
      </c>
      <c r="O67" s="14">
        <f t="shared" si="0"/>
        <v>138600224.59999999</v>
      </c>
      <c r="P67" s="27">
        <f t="shared" si="7"/>
        <v>202529.45450000124</v>
      </c>
      <c r="Q67" s="3"/>
      <c r="R67" s="3"/>
      <c r="S67" s="3"/>
      <c r="T67" s="3"/>
      <c r="U67" s="3"/>
      <c r="V67" s="25">
        <v>6.8199999999999999E-4</v>
      </c>
      <c r="W67" s="3">
        <v>0.6</v>
      </c>
      <c r="X67" s="26">
        <f t="shared" si="8"/>
        <v>58389.36</v>
      </c>
      <c r="Y67" s="26">
        <f t="shared" si="12"/>
        <v>0</v>
      </c>
      <c r="Z67" s="3"/>
    </row>
    <row r="68" spans="1:26" x14ac:dyDescent="0.25">
      <c r="A68" s="28">
        <v>47177</v>
      </c>
      <c r="B68" s="63"/>
      <c r="C68" s="64">
        <f t="shared" si="1"/>
        <v>1021</v>
      </c>
      <c r="D68" s="29">
        <f t="shared" si="2"/>
        <v>1008</v>
      </c>
      <c r="E68" s="22">
        <f t="shared" si="9"/>
        <v>162894.45356899488</v>
      </c>
      <c r="F68" s="55">
        <f t="shared" si="4"/>
        <v>162894.45356899488</v>
      </c>
      <c r="G68" s="22">
        <f t="shared" si="10"/>
        <v>0</v>
      </c>
      <c r="H68" s="55">
        <f t="shared" si="5"/>
        <v>0</v>
      </c>
      <c r="I68" s="55">
        <f t="shared" si="3"/>
        <v>142854386.64356899</v>
      </c>
      <c r="J68" s="55">
        <f>((A68-A67)/(A73-A67))*$H$18</f>
        <v>0</v>
      </c>
      <c r="K68" s="55">
        <f t="shared" si="6"/>
        <v>142691492.19</v>
      </c>
      <c r="L68" s="30">
        <v>97.132788000000005</v>
      </c>
      <c r="M68" s="14">
        <f t="shared" si="11"/>
        <v>-3888738.1354999929</v>
      </c>
      <c r="N68" s="14">
        <f t="shared" si="13"/>
        <v>-4051632.5890689879</v>
      </c>
      <c r="O68" s="14">
        <f t="shared" si="0"/>
        <v>138600224.59999999</v>
      </c>
      <c r="P68" s="27">
        <f t="shared" si="7"/>
        <v>202529.45450001943</v>
      </c>
      <c r="Q68" s="3"/>
      <c r="R68" s="3"/>
      <c r="S68" s="3"/>
      <c r="T68" s="3"/>
      <c r="U68" s="3"/>
      <c r="V68" s="25">
        <v>6.8199999999999999E-4</v>
      </c>
      <c r="W68" s="3">
        <v>0.6</v>
      </c>
      <c r="X68" s="26">
        <f t="shared" si="8"/>
        <v>58389.36</v>
      </c>
      <c r="Y68" s="26">
        <f t="shared" si="12"/>
        <v>0</v>
      </c>
      <c r="Z68" s="3"/>
    </row>
    <row r="69" spans="1:26" x14ac:dyDescent="0.25">
      <c r="A69" s="28">
        <v>47208</v>
      </c>
      <c r="B69" s="63"/>
      <c r="C69" s="64">
        <f t="shared" si="1"/>
        <v>1052</v>
      </c>
      <c r="D69" s="29">
        <f t="shared" si="2"/>
        <v>1039</v>
      </c>
      <c r="E69" s="22">
        <f t="shared" si="9"/>
        <v>167840.31846678024</v>
      </c>
      <c r="F69" s="55">
        <f t="shared" si="4"/>
        <v>167840.31846678024</v>
      </c>
      <c r="G69" s="22">
        <f t="shared" si="10"/>
        <v>0</v>
      </c>
      <c r="H69" s="55">
        <f t="shared" si="5"/>
        <v>0</v>
      </c>
      <c r="I69" s="55">
        <f t="shared" si="3"/>
        <v>142859332.50846678</v>
      </c>
      <c r="J69" s="55">
        <f>((A69-A67)/(A73-A67))*$H$18</f>
        <v>0</v>
      </c>
      <c r="K69" s="55">
        <f t="shared" si="6"/>
        <v>142691492.19</v>
      </c>
      <c r="L69" s="30">
        <v>97.132788000000005</v>
      </c>
      <c r="M69" s="14">
        <f t="shared" si="11"/>
        <v>-3888738.1354999929</v>
      </c>
      <c r="N69" s="14">
        <f t="shared" si="13"/>
        <v>-4056578.4539667731</v>
      </c>
      <c r="O69" s="14">
        <f t="shared" si="0"/>
        <v>138600224.59999999</v>
      </c>
      <c r="P69" s="27">
        <f t="shared" si="7"/>
        <v>202529.45450001722</v>
      </c>
      <c r="Q69" s="3"/>
      <c r="R69" s="3"/>
      <c r="S69" s="3"/>
      <c r="T69" s="3"/>
      <c r="U69" s="3"/>
      <c r="V69" s="25">
        <v>6.8199999999999999E-4</v>
      </c>
      <c r="W69" s="3">
        <v>0.6</v>
      </c>
      <c r="X69" s="26">
        <f t="shared" si="8"/>
        <v>58389.36</v>
      </c>
      <c r="Y69" s="26">
        <f t="shared" si="12"/>
        <v>0</v>
      </c>
      <c r="Z69" s="3"/>
    </row>
    <row r="70" spans="1:26" x14ac:dyDescent="0.25">
      <c r="A70" s="28">
        <v>47238</v>
      </c>
      <c r="B70" s="63"/>
      <c r="C70" s="64">
        <f t="shared" si="1"/>
        <v>1082</v>
      </c>
      <c r="D70" s="29">
        <f t="shared" si="2"/>
        <v>1069</v>
      </c>
      <c r="E70" s="22">
        <f t="shared" si="9"/>
        <v>172626.63933560476</v>
      </c>
      <c r="F70" s="55">
        <f t="shared" si="4"/>
        <v>172626.63933560476</v>
      </c>
      <c r="G70" s="22">
        <f t="shared" si="10"/>
        <v>0</v>
      </c>
      <c r="H70" s="55">
        <f t="shared" si="5"/>
        <v>0</v>
      </c>
      <c r="I70" s="55">
        <f t="shared" si="3"/>
        <v>142864118.8293356</v>
      </c>
      <c r="J70" s="55">
        <f>((A70-A67)/(A73-A67))*$H$18</f>
        <v>0</v>
      </c>
      <c r="K70" s="55">
        <f t="shared" si="6"/>
        <v>142691492.19</v>
      </c>
      <c r="L70" s="30">
        <v>97.132788000000005</v>
      </c>
      <c r="M70" s="14">
        <f t="shared" si="11"/>
        <v>-3888738.1354999929</v>
      </c>
      <c r="N70" s="14">
        <f t="shared" si="13"/>
        <v>-4061364.7748355977</v>
      </c>
      <c r="O70" s="14">
        <f t="shared" si="0"/>
        <v>138600224.59999999</v>
      </c>
      <c r="P70" s="27">
        <f t="shared" si="7"/>
        <v>202529.45450002179</v>
      </c>
      <c r="Q70" s="3"/>
      <c r="R70" s="3"/>
      <c r="S70" s="3"/>
      <c r="T70" s="3"/>
      <c r="U70" s="3"/>
      <c r="V70" s="25">
        <v>6.8199999999999999E-4</v>
      </c>
      <c r="W70" s="3">
        <v>0.6</v>
      </c>
      <c r="X70" s="26">
        <f t="shared" si="8"/>
        <v>58389.36</v>
      </c>
      <c r="Y70" s="26">
        <f t="shared" si="12"/>
        <v>0</v>
      </c>
      <c r="Z70" s="3"/>
    </row>
    <row r="71" spans="1:26" x14ac:dyDescent="0.25">
      <c r="A71" s="28">
        <v>47269</v>
      </c>
      <c r="B71" s="63"/>
      <c r="C71" s="64">
        <f t="shared" si="1"/>
        <v>1113</v>
      </c>
      <c r="D71" s="29">
        <f t="shared" si="2"/>
        <v>1100</v>
      </c>
      <c r="E71" s="22">
        <f t="shared" si="9"/>
        <v>177572.50423339012</v>
      </c>
      <c r="F71" s="55">
        <f t="shared" si="4"/>
        <v>177572.50423339012</v>
      </c>
      <c r="G71" s="22">
        <f t="shared" si="10"/>
        <v>0</v>
      </c>
      <c r="H71" s="55">
        <f t="shared" si="5"/>
        <v>0</v>
      </c>
      <c r="I71" s="55">
        <f t="shared" si="3"/>
        <v>142869064.69423339</v>
      </c>
      <c r="J71" s="55">
        <f>((A71-A67)/(A73-A67))*$H$18</f>
        <v>0</v>
      </c>
      <c r="K71" s="55">
        <f t="shared" si="6"/>
        <v>142691492.19</v>
      </c>
      <c r="L71" s="30">
        <v>97.132788000000005</v>
      </c>
      <c r="M71" s="14">
        <f t="shared" si="11"/>
        <v>-3888738.1354999929</v>
      </c>
      <c r="N71" s="14">
        <f t="shared" si="13"/>
        <v>-4066310.639733383</v>
      </c>
      <c r="O71" s="14">
        <f t="shared" si="0"/>
        <v>138600224.59999999</v>
      </c>
      <c r="P71" s="27">
        <f t="shared" si="7"/>
        <v>202529.45450001958</v>
      </c>
      <c r="Q71" s="3"/>
      <c r="R71" s="3"/>
      <c r="S71" s="3"/>
      <c r="T71" s="3"/>
      <c r="U71" s="3"/>
      <c r="V71" s="25">
        <v>6.8199999999999999E-4</v>
      </c>
      <c r="W71" s="3">
        <v>0.6</v>
      </c>
      <c r="X71" s="26">
        <f t="shared" si="8"/>
        <v>58389.36</v>
      </c>
      <c r="Y71" s="26">
        <f t="shared" si="12"/>
        <v>0</v>
      </c>
      <c r="Z71" s="3"/>
    </row>
    <row r="72" spans="1:26" x14ac:dyDescent="0.25">
      <c r="A72" s="28">
        <v>47299</v>
      </c>
      <c r="B72" s="63"/>
      <c r="C72" s="64">
        <f t="shared" si="1"/>
        <v>1143</v>
      </c>
      <c r="D72" s="29">
        <f t="shared" si="2"/>
        <v>1130</v>
      </c>
      <c r="E72" s="22">
        <f t="shared" si="9"/>
        <v>182358.82510221464</v>
      </c>
      <c r="F72" s="55">
        <f t="shared" si="4"/>
        <v>182358.82510221464</v>
      </c>
      <c r="G72" s="22">
        <f t="shared" si="10"/>
        <v>0</v>
      </c>
      <c r="H72" s="55">
        <f t="shared" si="5"/>
        <v>0</v>
      </c>
      <c r="I72" s="55">
        <f t="shared" si="3"/>
        <v>142873851.01510221</v>
      </c>
      <c r="J72" s="55">
        <f>((A72-A67)/(A73-A67))*$H$18</f>
        <v>0</v>
      </c>
      <c r="K72" s="55">
        <f t="shared" si="6"/>
        <v>142691492.19</v>
      </c>
      <c r="L72" s="30">
        <v>97.132788000000005</v>
      </c>
      <c r="M72" s="14">
        <f t="shared" si="11"/>
        <v>-3888738.1354999929</v>
      </c>
      <c r="N72" s="14">
        <f t="shared" si="13"/>
        <v>-4071096.9606022076</v>
      </c>
      <c r="O72" s="14">
        <f t="shared" si="0"/>
        <v>138600224.59999999</v>
      </c>
      <c r="P72" s="27">
        <f t="shared" si="7"/>
        <v>202529.45450002415</v>
      </c>
      <c r="Q72" s="3"/>
      <c r="R72" s="3"/>
      <c r="S72" s="3"/>
      <c r="T72" s="3"/>
      <c r="U72" s="3"/>
      <c r="V72" s="25">
        <v>6.8199999999999999E-4</v>
      </c>
      <c r="W72" s="3">
        <v>0.6</v>
      </c>
      <c r="X72" s="26">
        <f t="shared" si="8"/>
        <v>58389.36</v>
      </c>
      <c r="Y72" s="26">
        <f t="shared" si="12"/>
        <v>0</v>
      </c>
      <c r="Z72" s="3"/>
    </row>
    <row r="73" spans="1:26" x14ac:dyDescent="0.25">
      <c r="A73" s="31">
        <f>B12</f>
        <v>47330</v>
      </c>
      <c r="B73" s="63">
        <f>B3</f>
        <v>137000000</v>
      </c>
      <c r="C73" s="64">
        <f t="shared" si="1"/>
        <v>1174</v>
      </c>
      <c r="D73" s="29">
        <f t="shared" si="2"/>
        <v>1161</v>
      </c>
      <c r="E73" s="22">
        <f t="shared" si="9"/>
        <v>187304.69</v>
      </c>
      <c r="F73" s="55">
        <f t="shared" si="4"/>
        <v>187304.69</v>
      </c>
      <c r="G73" s="22">
        <f t="shared" si="10"/>
        <v>0</v>
      </c>
      <c r="H73" s="55">
        <f t="shared" si="5"/>
        <v>0</v>
      </c>
      <c r="I73" s="55">
        <f t="shared" si="3"/>
        <v>142878796.88</v>
      </c>
      <c r="J73" s="55">
        <f>((A73-A67)/(A73-A67))*$H$18</f>
        <v>0</v>
      </c>
      <c r="K73" s="55">
        <f t="shared" si="6"/>
        <v>142691492.19</v>
      </c>
      <c r="L73" s="30">
        <v>100</v>
      </c>
      <c r="M73" s="14">
        <f t="shared" si="11"/>
        <v>208507.8125</v>
      </c>
      <c r="N73" s="14">
        <f t="shared" si="13"/>
        <v>21203.122499999998</v>
      </c>
      <c r="O73" s="14">
        <f t="shared" si="0"/>
        <v>142691492.19</v>
      </c>
      <c r="P73" s="27">
        <f t="shared" si="7"/>
        <v>208507.81250000239</v>
      </c>
      <c r="Q73" s="3"/>
      <c r="R73" s="3"/>
      <c r="S73" s="3"/>
      <c r="T73" s="3"/>
      <c r="U73" s="3"/>
      <c r="V73" s="25">
        <v>6.8199999999999999E-4</v>
      </c>
      <c r="W73" s="3">
        <v>0.6</v>
      </c>
      <c r="X73" s="26">
        <f t="shared" si="8"/>
        <v>114449.76</v>
      </c>
      <c r="Y73" s="26">
        <f>+X73-X72</f>
        <v>56060.399999999994</v>
      </c>
      <c r="Z73" s="3"/>
    </row>
    <row r="74" spans="1:26" x14ac:dyDescent="0.25">
      <c r="A74" s="3"/>
      <c r="B74" s="3"/>
      <c r="C74" s="66">
        <v>-142900000</v>
      </c>
      <c r="D74" s="3"/>
      <c r="E74" s="27"/>
      <c r="F74" s="67"/>
      <c r="G74" s="14"/>
      <c r="H74" s="68"/>
      <c r="I74" s="63"/>
      <c r="J74" s="63"/>
      <c r="K74" s="63"/>
      <c r="L74" s="27"/>
      <c r="M74" s="67"/>
      <c r="N74" s="14">
        <f t="shared" si="13"/>
        <v>0</v>
      </c>
      <c r="O74" s="27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3"/>
      <c r="B75" s="3"/>
      <c r="C75" s="3"/>
      <c r="D75" s="3"/>
      <c r="E75" s="27"/>
      <c r="F75" s="67"/>
      <c r="G75" s="27"/>
      <c r="H75" s="67"/>
      <c r="I75" s="63"/>
      <c r="J75" s="63"/>
      <c r="K75" s="63"/>
      <c r="L75" s="27"/>
      <c r="M75" s="67"/>
      <c r="N75" s="67"/>
      <c r="O75" s="27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3"/>
      <c r="B76" s="3"/>
      <c r="C76" s="3"/>
      <c r="D76" s="3"/>
      <c r="E76" s="32">
        <v>10891</v>
      </c>
      <c r="F76" s="3"/>
      <c r="G76" s="32">
        <v>10893</v>
      </c>
      <c r="H76" s="32">
        <v>40705</v>
      </c>
      <c r="I76" s="3" t="s">
        <v>37</v>
      </c>
      <c r="J76" s="3"/>
      <c r="K76" s="32">
        <v>10805</v>
      </c>
      <c r="L76" s="32"/>
      <c r="M76" s="32">
        <v>30907</v>
      </c>
      <c r="N76" s="32">
        <v>10895</v>
      </c>
      <c r="O76" s="3">
        <v>17305</v>
      </c>
      <c r="P76" s="3">
        <v>23206</v>
      </c>
      <c r="Q76" s="3">
        <v>45803</v>
      </c>
      <c r="R76" s="3"/>
      <c r="S76" s="3">
        <v>55804</v>
      </c>
      <c r="T76" s="33" t="s">
        <v>38</v>
      </c>
      <c r="U76" s="3">
        <v>10899</v>
      </c>
      <c r="V76" s="3">
        <v>56808</v>
      </c>
      <c r="W76" s="3">
        <v>45921</v>
      </c>
      <c r="X76" s="3"/>
      <c r="Y76" s="3"/>
      <c r="Z76" s="3"/>
    </row>
    <row r="77" spans="1:26" x14ac:dyDescent="0.25">
      <c r="A77" s="3"/>
      <c r="B77" s="3"/>
      <c r="C77" s="3"/>
      <c r="D77" s="11" t="s">
        <v>28</v>
      </c>
      <c r="E77" s="69">
        <f>SUMIF(B81:B948,E76,H81:H948)+SUMIF(B81:B948,E76,G81:G948)</f>
        <v>0</v>
      </c>
      <c r="F77" s="3"/>
      <c r="G77" s="69">
        <f>SUMIF(B81:B948,G76,H81:H948)+SUMIF(B81:B948,G76,G81:G948)</f>
        <v>0</v>
      </c>
      <c r="H77" s="69">
        <f>SUMIF(B81:B948,H76,H81:H948)+SUMIF(B81:B948,H76,G81:G948)</f>
        <v>0</v>
      </c>
      <c r="I77" s="70">
        <f>+E77+K77+G77</f>
        <v>0</v>
      </c>
      <c r="J77" s="70"/>
      <c r="K77" s="69">
        <f>SUMIF(B81:B948,K76,H81:H948)+SUMIF(B81:B948,K76,G81:G948)</f>
        <v>0</v>
      </c>
      <c r="L77" s="69"/>
      <c r="M77" s="69">
        <f>SUMIF(B81:B948,M76,H81:H948)+SUMIF(B81:B948,M76,G81:G948)</f>
        <v>0</v>
      </c>
      <c r="N77" s="69">
        <f>SUMIF(B81:B948,N76,H81:H948)+SUMIF(B81:B948,N76,G81:G948)</f>
        <v>0</v>
      </c>
      <c r="O77" s="141">
        <f>SUMIF(B81:B948,O76,H81:H948)+SUMIF(B81:B948,O76,G81:G948)</f>
        <v>0</v>
      </c>
      <c r="P77" s="3">
        <f>SUMIF(B81:B948,P76,H81:H948)+SUMIF(B81:B948,P76,G81:G948)</f>
        <v>0</v>
      </c>
      <c r="Q77" s="141">
        <f>SUMIF(B81:B948,Q76,H81:H948)+SUMIF(B81:B948,Q76,G81:G948)</f>
        <v>0</v>
      </c>
      <c r="R77" s="141"/>
      <c r="S77" s="141">
        <f>SUMIF(B81:B948,S76,H81:H948)+SUMIF(B81:B948,S76,G81:G948)</f>
        <v>0</v>
      </c>
      <c r="T77" s="11">
        <f>+Q77+S77</f>
        <v>0</v>
      </c>
      <c r="U77" s="3">
        <f>SUMIF(B81:B948,U76,H81:H948)+SUMIF(B81:B948,U76,G81:G948)</f>
        <v>0</v>
      </c>
      <c r="V77" s="3">
        <f>SUMIF(B81:B948,V76,H81:H948)+SUMIF(B81:B948,V76,G81:G948)</f>
        <v>0</v>
      </c>
      <c r="W77" s="3">
        <f>SUMIF(B81:B948,W76,H81:H948)+SUMIF(B81:B948,W76,G81:G948)</f>
        <v>0</v>
      </c>
      <c r="X77" s="3"/>
      <c r="Y77" s="3"/>
      <c r="Z77" s="3"/>
    </row>
    <row r="78" spans="1:26" x14ac:dyDescent="0.25">
      <c r="A78" s="3"/>
      <c r="B78" s="3"/>
      <c r="C78" s="3"/>
      <c r="D78" s="11"/>
      <c r="E78" s="69"/>
      <c r="F78" s="69"/>
      <c r="G78" s="69"/>
      <c r="H78" s="69">
        <f>(J35-J33)+F35+H35</f>
        <v>-1556514.2708446828</v>
      </c>
      <c r="I78" s="70"/>
      <c r="J78" s="70"/>
      <c r="K78" s="69"/>
      <c r="L78" s="69"/>
      <c r="M78" s="69"/>
      <c r="N78" s="69"/>
      <c r="O78" s="3"/>
      <c r="P78" s="3"/>
      <c r="Q78" s="35" t="s">
        <v>28</v>
      </c>
      <c r="R78" s="35"/>
      <c r="S78" s="36">
        <f>SUM(B33:B73)+(Q77+S77)</f>
        <v>-5691492.1899999976</v>
      </c>
      <c r="T78" s="3"/>
      <c r="U78" s="3"/>
      <c r="V78" s="3"/>
      <c r="W78" s="3"/>
      <c r="X78" s="3"/>
      <c r="Y78" s="3"/>
      <c r="Z78" s="3"/>
    </row>
    <row r="79" spans="1:26" ht="15.75" x14ac:dyDescent="0.25">
      <c r="A79" s="3"/>
      <c r="B79" s="3"/>
      <c r="C79" s="3"/>
      <c r="D79" s="11"/>
      <c r="E79" s="69"/>
      <c r="F79" s="69"/>
      <c r="G79" s="69"/>
      <c r="H79" s="69"/>
      <c r="I79" s="70"/>
      <c r="J79" s="70"/>
      <c r="K79" s="69"/>
      <c r="L79" s="69"/>
      <c r="M79" s="69"/>
      <c r="N79" s="69"/>
      <c r="O79" s="3"/>
      <c r="P79" s="3"/>
      <c r="Q79" s="37"/>
      <c r="R79" s="37"/>
      <c r="S79" s="36">
        <f>SUM(S32:S74)-(Q77+S77)</f>
        <v>0</v>
      </c>
      <c r="T79" s="3"/>
      <c r="U79" s="3"/>
      <c r="V79" s="3"/>
      <c r="W79" s="3"/>
      <c r="X79" s="3"/>
      <c r="Y79" s="3"/>
      <c r="Z79" s="3"/>
    </row>
    <row r="80" spans="1:26" x14ac:dyDescent="0.25">
      <c r="A80" s="38"/>
      <c r="B80" s="3"/>
      <c r="C80" s="39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6.5" x14ac:dyDescent="0.25">
      <c r="A81" s="71"/>
      <c r="B81" s="72"/>
      <c r="C81" s="72"/>
      <c r="D81" s="72"/>
      <c r="E81" s="73"/>
      <c r="F81" s="74"/>
      <c r="G81" s="75"/>
      <c r="H81" s="76"/>
      <c r="I81" s="77"/>
      <c r="J81" s="78"/>
      <c r="K81" s="79"/>
      <c r="L81" s="79"/>
      <c r="M81" s="80"/>
      <c r="N81" s="81"/>
      <c r="O81" s="14"/>
      <c r="P81" s="27"/>
      <c r="Q81" s="3"/>
      <c r="R81" s="3"/>
      <c r="S81" s="3"/>
      <c r="T81" s="3"/>
      <c r="U81" s="3"/>
      <c r="V81" s="25"/>
      <c r="W81" s="3"/>
      <c r="X81" s="26"/>
      <c r="Y81" s="26"/>
      <c r="Z81" s="3"/>
    </row>
    <row r="82" spans="1:26" ht="15.75" x14ac:dyDescent="0.25">
      <c r="A82" s="82"/>
      <c r="B82" s="83"/>
      <c r="C82" s="83"/>
      <c r="D82" s="83"/>
      <c r="E82" s="82"/>
      <c r="F82" s="84"/>
      <c r="G82" s="85"/>
      <c r="H82" s="86"/>
      <c r="I82" s="87"/>
      <c r="J82" s="78"/>
      <c r="K82" s="79"/>
      <c r="L82" s="88"/>
      <c r="M82" s="89"/>
      <c r="N82" s="90"/>
      <c r="O82" s="14"/>
      <c r="P82" s="27"/>
      <c r="Q82" s="3"/>
      <c r="R82" s="3"/>
      <c r="S82" s="3"/>
      <c r="T82" s="3"/>
      <c r="U82" s="3"/>
      <c r="V82" s="25"/>
      <c r="W82" s="3"/>
      <c r="X82" s="26"/>
      <c r="Y82" s="26"/>
      <c r="Z82" s="3"/>
    </row>
    <row r="83" spans="1:26" ht="15.75" x14ac:dyDescent="0.25">
      <c r="A83" s="91"/>
      <c r="B83" s="92"/>
      <c r="C83" s="92"/>
      <c r="D83" s="92"/>
      <c r="E83" s="92"/>
      <c r="F83" s="92"/>
      <c r="G83" s="27"/>
      <c r="H83" s="3"/>
      <c r="I83" s="93"/>
      <c r="J83" s="94"/>
      <c r="K83" s="94"/>
      <c r="L83" s="93"/>
      <c r="M83" s="93"/>
      <c r="N83" s="93"/>
      <c r="O83" s="14"/>
      <c r="P83" s="27"/>
      <c r="Q83" s="3"/>
      <c r="R83" s="3"/>
      <c r="S83" s="3"/>
      <c r="T83" s="3"/>
      <c r="U83" s="3"/>
      <c r="V83" s="25"/>
      <c r="W83" s="3"/>
      <c r="X83" s="26"/>
      <c r="Y83" s="26"/>
      <c r="Z83" s="3"/>
    </row>
    <row r="84" spans="1:26" ht="16.5" x14ac:dyDescent="0.25">
      <c r="A84" s="71"/>
      <c r="B84" s="95"/>
      <c r="C84" s="95"/>
      <c r="D84" s="95"/>
      <c r="E84" s="96"/>
      <c r="F84" s="97"/>
      <c r="G84" s="98"/>
      <c r="H84" s="76"/>
      <c r="I84" s="99"/>
      <c r="J84" s="78"/>
      <c r="K84" s="79"/>
      <c r="L84" s="88"/>
      <c r="M84" s="89"/>
      <c r="N84" s="81"/>
      <c r="O84" s="14"/>
      <c r="P84" s="27"/>
      <c r="Q84" s="3"/>
      <c r="R84" s="3"/>
      <c r="S84" s="3"/>
      <c r="T84" s="3"/>
      <c r="U84" s="3"/>
      <c r="V84" s="25"/>
      <c r="W84" s="3"/>
      <c r="X84" s="26"/>
      <c r="Y84" s="26"/>
      <c r="Z84" s="3"/>
    </row>
    <row r="85" spans="1:26" ht="15.75" x14ac:dyDescent="0.25">
      <c r="A85" s="82"/>
      <c r="B85" s="100"/>
      <c r="C85" s="100"/>
      <c r="D85" s="100"/>
      <c r="E85" s="101"/>
      <c r="F85" s="84"/>
      <c r="G85" s="85"/>
      <c r="H85" s="102"/>
      <c r="I85" s="87"/>
      <c r="J85" s="78"/>
      <c r="K85" s="79"/>
      <c r="L85" s="88"/>
      <c r="M85" s="89"/>
      <c r="N85" s="90"/>
      <c r="O85" s="14"/>
      <c r="P85" s="27"/>
      <c r="Q85" s="3"/>
      <c r="R85" s="3"/>
      <c r="S85" s="3"/>
      <c r="T85" s="3"/>
      <c r="U85" s="3"/>
      <c r="V85" s="25"/>
      <c r="W85" s="3"/>
      <c r="X85" s="26"/>
      <c r="Y85" s="26"/>
      <c r="Z85" s="3"/>
    </row>
    <row r="86" spans="1:26" ht="15.75" x14ac:dyDescent="0.25">
      <c r="A86" s="91"/>
      <c r="B86" s="92"/>
      <c r="C86" s="92"/>
      <c r="D86" s="92"/>
      <c r="E86" s="92"/>
      <c r="F86" s="92"/>
      <c r="G86" s="3"/>
      <c r="H86" s="3"/>
      <c r="I86" s="93"/>
      <c r="J86" s="94"/>
      <c r="K86" s="94"/>
      <c r="L86" s="93"/>
      <c r="M86" s="93"/>
      <c r="N86" s="93"/>
      <c r="O86" s="14"/>
      <c r="P86" s="27"/>
      <c r="Q86" s="3"/>
      <c r="R86" s="3"/>
      <c r="S86" s="3"/>
      <c r="T86" s="3"/>
      <c r="U86" s="3"/>
      <c r="V86" s="25"/>
      <c r="W86" s="3"/>
      <c r="X86" s="26"/>
      <c r="Y86" s="26"/>
      <c r="Z86" s="3"/>
    </row>
    <row r="87" spans="1:26" ht="15.75" x14ac:dyDescent="0.25">
      <c r="A87" s="103"/>
      <c r="B87" s="103"/>
      <c r="C87" s="103"/>
      <c r="D87" s="103"/>
      <c r="E87" s="103"/>
      <c r="F87" s="104"/>
      <c r="G87" s="105"/>
      <c r="H87" s="76"/>
      <c r="I87" s="99"/>
      <c r="J87" s="78"/>
      <c r="K87" s="79"/>
      <c r="L87" s="88"/>
      <c r="M87" s="89"/>
      <c r="N87" s="81"/>
      <c r="O87" s="14"/>
      <c r="P87" s="27"/>
      <c r="Q87" s="3"/>
      <c r="R87" s="3"/>
      <c r="S87" s="3"/>
      <c r="T87" s="3"/>
      <c r="U87" s="3"/>
      <c r="V87" s="25"/>
      <c r="W87" s="3"/>
      <c r="X87" s="26"/>
      <c r="Y87" s="26"/>
      <c r="Z87" s="3"/>
    </row>
    <row r="88" spans="1:26" ht="16.5" x14ac:dyDescent="0.25">
      <c r="A88" s="82"/>
      <c r="B88" s="106"/>
      <c r="C88" s="106"/>
      <c r="D88" s="106"/>
      <c r="E88" s="101"/>
      <c r="F88" s="84"/>
      <c r="G88" s="85"/>
      <c r="H88" s="107"/>
      <c r="I88" s="87"/>
      <c r="J88" s="78"/>
      <c r="K88" s="79"/>
      <c r="L88" s="88"/>
      <c r="M88" s="89"/>
      <c r="N88" s="90"/>
      <c r="O88" s="14"/>
      <c r="P88" s="27"/>
      <c r="Q88" s="3"/>
      <c r="R88" s="3"/>
      <c r="S88" s="3"/>
      <c r="T88" s="3"/>
      <c r="U88" s="3"/>
      <c r="V88" s="25"/>
      <c r="W88" s="3"/>
      <c r="X88" s="26"/>
      <c r="Y88" s="26"/>
      <c r="Z88" s="3"/>
    </row>
    <row r="89" spans="1:26" ht="15.75" x14ac:dyDescent="0.25">
      <c r="A89" s="91"/>
      <c r="B89" s="92"/>
      <c r="C89" s="92"/>
      <c r="D89" s="92"/>
      <c r="E89" s="92"/>
      <c r="F89" s="108"/>
      <c r="G89" s="3"/>
      <c r="H89" s="3"/>
      <c r="I89" s="93"/>
      <c r="J89" s="94"/>
      <c r="K89" s="94"/>
      <c r="L89" s="93"/>
      <c r="M89" s="109"/>
      <c r="N89" s="93"/>
      <c r="O89" s="14"/>
      <c r="P89" s="27"/>
      <c r="Q89" s="3"/>
      <c r="R89" s="3"/>
      <c r="S89" s="3"/>
      <c r="T89" s="3"/>
      <c r="U89" s="3"/>
      <c r="V89" s="25"/>
      <c r="W89" s="3"/>
      <c r="X89" s="26"/>
      <c r="Y89" s="26"/>
      <c r="Z89" s="3"/>
    </row>
    <row r="90" spans="1:26" ht="16.5" x14ac:dyDescent="0.25">
      <c r="A90" s="103"/>
      <c r="B90" s="95"/>
      <c r="C90" s="110"/>
      <c r="D90" s="110"/>
      <c r="E90" s="95"/>
      <c r="F90" s="104"/>
      <c r="G90" s="75"/>
      <c r="H90" s="105"/>
      <c r="I90" s="87"/>
      <c r="J90" s="78"/>
      <c r="K90" s="79"/>
      <c r="L90" s="88"/>
      <c r="M90" s="89"/>
      <c r="N90" s="81"/>
      <c r="O90" s="14"/>
      <c r="P90" s="27"/>
      <c r="Q90" s="3"/>
      <c r="R90" s="3"/>
      <c r="S90" s="3"/>
      <c r="T90" s="3"/>
      <c r="U90" s="3"/>
      <c r="V90" s="25"/>
      <c r="W90" s="3"/>
      <c r="X90" s="26"/>
      <c r="Y90" s="26"/>
      <c r="Z90" s="3"/>
    </row>
    <row r="91" spans="1:26" ht="16.5" x14ac:dyDescent="0.25">
      <c r="A91" s="111"/>
      <c r="B91" s="112"/>
      <c r="C91" s="113"/>
      <c r="D91" s="113"/>
      <c r="E91" s="112"/>
      <c r="F91" s="114"/>
      <c r="G91" s="115"/>
      <c r="H91" s="116"/>
      <c r="I91" s="117"/>
      <c r="J91" s="118"/>
      <c r="K91" s="119"/>
      <c r="L91" s="120"/>
      <c r="M91" s="121"/>
      <c r="N91" s="122"/>
      <c r="O91" s="14"/>
      <c r="P91" s="27"/>
      <c r="Q91" s="3"/>
      <c r="R91" s="3"/>
      <c r="S91" s="3"/>
      <c r="T91" s="3"/>
      <c r="U91" s="3"/>
      <c r="V91" s="25"/>
      <c r="W91" s="3"/>
      <c r="X91" s="26"/>
      <c r="Y91" s="26"/>
      <c r="Z91" s="3"/>
    </row>
    <row r="92" spans="1:26" ht="16.5" x14ac:dyDescent="0.25">
      <c r="A92" s="123"/>
      <c r="B92" s="124"/>
      <c r="C92" s="124"/>
      <c r="D92" s="124"/>
      <c r="E92" s="123"/>
      <c r="F92" s="125"/>
      <c r="G92" s="85"/>
      <c r="H92" s="85"/>
      <c r="I92" s="126"/>
      <c r="J92" s="127"/>
      <c r="K92" s="88"/>
      <c r="L92" s="88"/>
      <c r="M92" s="89"/>
      <c r="N92" s="90"/>
      <c r="O92" s="14"/>
      <c r="P92" s="27"/>
      <c r="Q92" s="3"/>
      <c r="R92" s="3"/>
      <c r="S92" s="3"/>
      <c r="T92" s="3"/>
      <c r="U92" s="3"/>
      <c r="V92" s="25"/>
      <c r="W92" s="3"/>
      <c r="X92" s="26"/>
      <c r="Y92" s="26"/>
      <c r="Z92" s="3"/>
    </row>
    <row r="93" spans="1:26" ht="15.75" x14ac:dyDescent="0.25">
      <c r="A93" s="91"/>
      <c r="B93" s="92"/>
      <c r="C93" s="92"/>
      <c r="D93" s="92"/>
      <c r="E93" s="92"/>
      <c r="F93" s="108"/>
      <c r="G93" s="3"/>
      <c r="H93" s="3"/>
      <c r="I93" s="93"/>
      <c r="J93" s="94"/>
      <c r="K93" s="94"/>
      <c r="L93" s="93"/>
      <c r="M93" s="109"/>
      <c r="N93" s="93"/>
      <c r="O93" s="14"/>
      <c r="P93" s="27"/>
      <c r="Q93" s="3"/>
      <c r="R93" s="3"/>
      <c r="S93" s="3"/>
      <c r="T93" s="3"/>
      <c r="U93" s="3"/>
      <c r="V93" s="25"/>
      <c r="W93" s="3"/>
      <c r="X93" s="26"/>
      <c r="Y93" s="26"/>
      <c r="Z93" s="3"/>
    </row>
    <row r="94" spans="1:26" ht="16.5" x14ac:dyDescent="0.25">
      <c r="A94" s="103"/>
      <c r="B94" s="110"/>
      <c r="C94" s="110"/>
      <c r="D94" s="110"/>
      <c r="E94" s="128"/>
      <c r="F94" s="104"/>
      <c r="G94" s="75"/>
      <c r="H94" s="105"/>
      <c r="I94" s="87"/>
      <c r="J94" s="129"/>
      <c r="K94" s="79"/>
      <c r="L94" s="88"/>
      <c r="M94" s="89"/>
      <c r="N94" s="81"/>
      <c r="O94" s="14"/>
      <c r="P94" s="27"/>
      <c r="Q94" s="3"/>
      <c r="R94" s="3"/>
      <c r="S94" s="3"/>
      <c r="T94" s="3"/>
      <c r="U94" s="3"/>
      <c r="V94" s="25"/>
      <c r="W94" s="3"/>
      <c r="X94" s="26"/>
      <c r="Y94" s="26"/>
      <c r="Z94" s="3"/>
    </row>
    <row r="95" spans="1:26" ht="16.5" x14ac:dyDescent="0.25">
      <c r="A95" s="111"/>
      <c r="B95" s="113"/>
      <c r="C95" s="113"/>
      <c r="D95" s="113"/>
      <c r="E95" s="130"/>
      <c r="F95" s="114"/>
      <c r="G95" s="115"/>
      <c r="H95" s="116"/>
      <c r="I95" s="117"/>
      <c r="J95" s="118"/>
      <c r="K95" s="119"/>
      <c r="L95" s="120"/>
      <c r="M95" s="121"/>
      <c r="N95" s="122"/>
      <c r="O95" s="14"/>
      <c r="P95" s="27"/>
      <c r="Q95" s="3"/>
      <c r="R95" s="3"/>
      <c r="S95" s="3"/>
      <c r="T95" s="3"/>
      <c r="U95" s="3"/>
      <c r="V95" s="25"/>
      <c r="W95" s="3"/>
      <c r="X95" s="26"/>
      <c r="Y95" s="26"/>
      <c r="Z95" s="3"/>
    </row>
    <row r="96" spans="1:26" ht="16.5" x14ac:dyDescent="0.25">
      <c r="A96" s="123"/>
      <c r="B96" s="124"/>
      <c r="C96" s="124"/>
      <c r="D96" s="124"/>
      <c r="E96" s="123"/>
      <c r="F96" s="125"/>
      <c r="G96" s="85"/>
      <c r="H96" s="85"/>
      <c r="I96" s="126"/>
      <c r="J96" s="127"/>
      <c r="K96" s="88"/>
      <c r="L96" s="88"/>
      <c r="M96" s="89"/>
      <c r="N96" s="90"/>
      <c r="O96" s="14"/>
      <c r="P96" s="27"/>
      <c r="Q96" s="3"/>
      <c r="R96" s="3"/>
      <c r="S96" s="3"/>
      <c r="T96" s="3"/>
      <c r="U96" s="3"/>
      <c r="V96" s="25"/>
      <c r="W96" s="3"/>
      <c r="X96" s="26"/>
      <c r="Y96" s="26"/>
      <c r="Z96" s="3"/>
    </row>
    <row r="97" spans="1:26" ht="15.75" x14ac:dyDescent="0.25">
      <c r="A97" s="90"/>
      <c r="B97" s="90"/>
      <c r="C97" s="127"/>
      <c r="D97" s="127"/>
      <c r="E97" s="127"/>
      <c r="F97" s="88"/>
      <c r="G97" s="90"/>
      <c r="H97" s="90"/>
      <c r="I97" s="3"/>
      <c r="J97" s="3"/>
      <c r="K97" s="3"/>
      <c r="L97" s="3"/>
      <c r="M97" s="3"/>
      <c r="N97" s="3"/>
      <c r="O97" s="14"/>
      <c r="P97" s="27"/>
      <c r="Q97" s="3"/>
      <c r="R97" s="3"/>
      <c r="S97" s="3"/>
      <c r="T97" s="3"/>
      <c r="U97" s="3"/>
      <c r="V97" s="25"/>
      <c r="W97" s="3"/>
      <c r="X97" s="26"/>
      <c r="Y97" s="26"/>
      <c r="Z97" s="3"/>
    </row>
    <row r="98" spans="1:26" x14ac:dyDescent="0.25">
      <c r="A98" s="38"/>
      <c r="B98" s="3"/>
      <c r="C98" s="39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14"/>
      <c r="P98" s="27"/>
      <c r="Q98" s="3"/>
      <c r="R98" s="3"/>
      <c r="S98" s="3"/>
      <c r="T98" s="3"/>
      <c r="U98" s="3"/>
      <c r="V98" s="25"/>
      <c r="W98" s="3"/>
      <c r="X98" s="26"/>
      <c r="Y98" s="26"/>
      <c r="Z98" s="3"/>
    </row>
    <row r="99" spans="1:26" ht="16.5" x14ac:dyDescent="0.25">
      <c r="A99" s="71"/>
      <c r="B99" s="72"/>
      <c r="C99" s="72"/>
      <c r="D99" s="72"/>
      <c r="E99" s="73"/>
      <c r="F99" s="74"/>
      <c r="G99" s="75"/>
      <c r="H99" s="76"/>
      <c r="I99" s="77"/>
      <c r="J99" s="78"/>
      <c r="K99" s="79"/>
      <c r="L99" s="79"/>
      <c r="M99" s="80"/>
      <c r="N99" s="81"/>
      <c r="O99" s="14">
        <f t="shared" ref="O31:O99" si="14">ROUND(K99*L99/100,2)</f>
        <v>0</v>
      </c>
      <c r="P99" s="27">
        <f t="shared" ref="P31:P99" si="15">+$I$18+H99+N99-O99+F99</f>
        <v>0</v>
      </c>
      <c r="Q99" s="3"/>
      <c r="R99" s="3"/>
      <c r="S99" s="3"/>
      <c r="T99" s="3"/>
      <c r="U99" s="3"/>
      <c r="V99" s="25">
        <v>6.8199999999999999E-4</v>
      </c>
      <c r="W99" s="3">
        <v>0.6</v>
      </c>
      <c r="X99" s="26">
        <f t="shared" ref="X30:X99" si="16">ROUND((K99+C99)*V99*W99,2)</f>
        <v>0</v>
      </c>
      <c r="Y99" s="26">
        <f>+X99-X75</f>
        <v>0</v>
      </c>
      <c r="Z99" s="3"/>
    </row>
    <row r="100" spans="1:26" ht="15.75" x14ac:dyDescent="0.25">
      <c r="A100" s="82"/>
      <c r="B100" s="83"/>
      <c r="C100" s="83"/>
      <c r="D100" s="83"/>
      <c r="E100" s="82"/>
      <c r="F100" s="84"/>
      <c r="G100" s="85"/>
      <c r="H100" s="86"/>
      <c r="I100" s="87"/>
      <c r="J100" s="78"/>
      <c r="K100" s="79"/>
      <c r="L100" s="88"/>
      <c r="M100" s="89"/>
      <c r="N100" s="90"/>
      <c r="O100" s="27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x14ac:dyDescent="0.25">
      <c r="A101" s="91"/>
      <c r="B101" s="92"/>
      <c r="C101" s="92"/>
      <c r="D101" s="92"/>
      <c r="E101" s="92"/>
      <c r="F101" s="92"/>
      <c r="G101" s="27"/>
      <c r="H101" s="3"/>
      <c r="I101" s="93"/>
      <c r="J101" s="94"/>
      <c r="K101" s="94"/>
      <c r="L101" s="93"/>
      <c r="M101" s="93"/>
      <c r="N101" s="93"/>
      <c r="O101" s="27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6.5" x14ac:dyDescent="0.25">
      <c r="A102" s="71"/>
      <c r="B102" s="95"/>
      <c r="C102" s="95"/>
      <c r="D102" s="95"/>
      <c r="E102" s="103"/>
      <c r="F102" s="97"/>
      <c r="G102" s="98"/>
      <c r="H102" s="76"/>
      <c r="I102" s="99"/>
      <c r="J102" s="78"/>
      <c r="K102" s="79"/>
      <c r="L102" s="88"/>
      <c r="M102" s="89"/>
      <c r="N102" s="81"/>
      <c r="O102" s="3">
        <v>17305</v>
      </c>
      <c r="P102" s="3">
        <v>23206</v>
      </c>
      <c r="Q102" s="3">
        <v>45803</v>
      </c>
      <c r="R102" s="3"/>
      <c r="S102" s="3">
        <v>55804</v>
      </c>
      <c r="T102" s="33" t="s">
        <v>38</v>
      </c>
      <c r="U102" s="3">
        <v>10899</v>
      </c>
      <c r="V102" s="3">
        <v>56808</v>
      </c>
      <c r="W102" s="3">
        <v>45921</v>
      </c>
      <c r="X102" s="3"/>
      <c r="Y102" s="3"/>
      <c r="Z102" s="3"/>
    </row>
    <row r="103" spans="1:26" ht="15.75" x14ac:dyDescent="0.25">
      <c r="A103" s="82"/>
      <c r="B103" s="100"/>
      <c r="C103" s="100"/>
      <c r="D103" s="100"/>
      <c r="E103" s="101"/>
      <c r="F103" s="84"/>
      <c r="G103" s="85"/>
      <c r="H103" s="102"/>
      <c r="I103" s="87"/>
      <c r="J103" s="78"/>
      <c r="K103" s="79"/>
      <c r="L103" s="88"/>
      <c r="M103" s="89"/>
      <c r="N103" s="90"/>
      <c r="O103" s="3">
        <f>SUMIF(B107:B974,O102,H107:H974)+SUMIF(B107:B974,O102,G107:G974)</f>
        <v>0</v>
      </c>
      <c r="P103" s="3">
        <f>SUMIF(B107:B974,P102,H107:H974)+SUMIF(B107:B974,P102,G107:G974)</f>
        <v>0</v>
      </c>
      <c r="Q103" s="34">
        <f>SUMIF(B107:B974,Q102,H107:H974)+SUMIF(B107:B974,Q102,G107:G974)</f>
        <v>0</v>
      </c>
      <c r="R103" s="34"/>
      <c r="S103" s="34">
        <f>SUMIF(B107:B974,S102,H107:H974)+SUMIF(B107:B974,S102,G107:G974)</f>
        <v>0</v>
      </c>
      <c r="T103" s="11">
        <f>+Q103+S103</f>
        <v>0</v>
      </c>
      <c r="U103" s="3">
        <f>SUMIF(B107:B974,U102,H107:H974)+SUMIF(B107:B974,U102,G107:G974)</f>
        <v>0</v>
      </c>
      <c r="V103" s="3">
        <f>SUMIF(B107:B974,V102,H107:H974)+SUMIF(B107:B974,V102,G107:G974)</f>
        <v>0</v>
      </c>
      <c r="W103" s="3">
        <f>SUMIF(B107:B974,W102,H107:H974)+SUMIF(B107:B974,W102,G107:G974)</f>
        <v>0</v>
      </c>
      <c r="X103" s="3"/>
      <c r="Y103" s="3"/>
      <c r="Z103" s="3"/>
    </row>
    <row r="104" spans="1:26" ht="15.75" x14ac:dyDescent="0.25">
      <c r="A104" s="91"/>
      <c r="B104" s="92"/>
      <c r="C104" s="92"/>
      <c r="D104" s="92"/>
      <c r="E104" s="92"/>
      <c r="F104" s="92"/>
      <c r="G104" s="27"/>
      <c r="H104" s="3"/>
      <c r="I104" s="93"/>
      <c r="J104" s="94"/>
      <c r="K104" s="94"/>
      <c r="L104" s="93"/>
      <c r="M104" s="93"/>
      <c r="N104" s="93"/>
      <c r="O104" s="3"/>
      <c r="P104" s="3"/>
      <c r="Q104" s="35" t="s">
        <v>28</v>
      </c>
      <c r="R104" s="35"/>
      <c r="S104" s="36">
        <f>SUM(B28:B99)+(Q103+S103)</f>
        <v>-142504187.5</v>
      </c>
      <c r="T104" s="3"/>
      <c r="U104" s="3"/>
      <c r="V104" s="3"/>
      <c r="W104" s="3"/>
      <c r="X104" s="3"/>
      <c r="Y104" s="3"/>
      <c r="Z104" s="3"/>
    </row>
    <row r="105" spans="1:26" ht="16.5" x14ac:dyDescent="0.25">
      <c r="A105" s="71"/>
      <c r="B105" s="95"/>
      <c r="C105" s="95"/>
      <c r="D105" s="95"/>
      <c r="E105" s="103"/>
      <c r="F105" s="97"/>
      <c r="G105" s="98"/>
      <c r="H105" s="76"/>
      <c r="I105" s="99"/>
      <c r="J105" s="78"/>
      <c r="K105" s="79"/>
      <c r="L105" s="88"/>
      <c r="M105" s="89"/>
      <c r="N105" s="81"/>
      <c r="O105" s="3"/>
      <c r="P105" s="3"/>
      <c r="Q105" s="37"/>
      <c r="R105" s="37"/>
      <c r="S105" s="36">
        <f>SUM(S27:S100)-(Q103+S103)</f>
        <v>-5635688.1899999976</v>
      </c>
      <c r="T105" s="3"/>
      <c r="U105" s="3"/>
      <c r="V105" s="3"/>
      <c r="W105" s="3"/>
      <c r="X105" s="3"/>
      <c r="Y105" s="3"/>
      <c r="Z105" s="3"/>
    </row>
    <row r="106" spans="1:26" ht="15.75" x14ac:dyDescent="0.25">
      <c r="A106" s="82"/>
      <c r="B106" s="131"/>
      <c r="C106" s="100"/>
      <c r="D106" s="100"/>
      <c r="E106" s="101"/>
      <c r="F106" s="84"/>
      <c r="G106" s="85"/>
      <c r="H106" s="102"/>
      <c r="I106" s="87"/>
      <c r="J106" s="78"/>
      <c r="K106" s="79"/>
      <c r="L106" s="88"/>
      <c r="M106" s="89"/>
      <c r="N106" s="90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x14ac:dyDescent="0.25">
      <c r="A107" s="91"/>
      <c r="B107" s="92"/>
      <c r="C107" s="92"/>
      <c r="D107" s="92"/>
      <c r="E107" s="92"/>
      <c r="F107" s="92"/>
      <c r="G107" s="3"/>
      <c r="H107" s="3"/>
      <c r="I107" s="93"/>
      <c r="J107" s="94"/>
      <c r="K107" s="94"/>
      <c r="L107" s="93"/>
      <c r="M107" s="93"/>
      <c r="N107" s="93"/>
    </row>
    <row r="108" spans="1:26" ht="15.75" x14ac:dyDescent="0.25">
      <c r="A108" s="103"/>
      <c r="B108" s="103"/>
      <c r="C108" s="103"/>
      <c r="D108" s="103"/>
      <c r="E108" s="103"/>
      <c r="F108" s="104"/>
      <c r="G108" s="105"/>
      <c r="H108" s="76"/>
      <c r="I108" s="99"/>
      <c r="J108" s="78"/>
      <c r="K108" s="79"/>
      <c r="L108" s="88"/>
      <c r="M108" s="89"/>
      <c r="N108" s="81"/>
    </row>
    <row r="109" spans="1:26" ht="16.5" x14ac:dyDescent="0.25">
      <c r="A109" s="82"/>
      <c r="B109" s="132"/>
      <c r="C109" s="106"/>
      <c r="D109" s="106"/>
      <c r="E109" s="103"/>
      <c r="F109" s="84"/>
      <c r="G109" s="85"/>
      <c r="H109" s="107"/>
      <c r="I109" s="87"/>
      <c r="J109" s="78"/>
      <c r="K109" s="79"/>
      <c r="L109" s="88"/>
      <c r="M109" s="89"/>
      <c r="N109" s="90"/>
    </row>
    <row r="110" spans="1:26" ht="15.75" x14ac:dyDescent="0.25">
      <c r="A110" s="90"/>
      <c r="B110" s="90"/>
      <c r="C110" s="127"/>
      <c r="D110" s="127"/>
      <c r="E110" s="127"/>
      <c r="F110" s="88"/>
      <c r="G110" s="90"/>
      <c r="H110" s="90"/>
      <c r="I110" s="3"/>
      <c r="J110" s="3"/>
      <c r="K110" s="3"/>
      <c r="L110" s="3"/>
      <c r="M110" s="3"/>
      <c r="N110" s="3"/>
    </row>
    <row r="111" spans="1:26" x14ac:dyDescent="0.25">
      <c r="A111" s="38"/>
      <c r="B111" s="3"/>
      <c r="C111" s="39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1:26" ht="16.5" x14ac:dyDescent="0.25">
      <c r="A112" s="71"/>
      <c r="B112" s="72"/>
      <c r="C112" s="72"/>
      <c r="D112" s="72"/>
      <c r="E112" s="73"/>
      <c r="F112" s="74"/>
      <c r="G112" s="75"/>
      <c r="H112" s="76"/>
      <c r="I112" s="77"/>
      <c r="J112" s="78"/>
      <c r="K112" s="79"/>
      <c r="L112" s="79"/>
      <c r="M112" s="80"/>
      <c r="N112" s="81"/>
    </row>
    <row r="113" spans="1:14" ht="15.75" x14ac:dyDescent="0.25">
      <c r="A113" s="82"/>
      <c r="B113" s="83"/>
      <c r="C113" s="83"/>
      <c r="D113" s="83"/>
      <c r="E113" s="82"/>
      <c r="F113" s="84"/>
      <c r="G113" s="85"/>
      <c r="H113" s="86"/>
      <c r="I113" s="87"/>
      <c r="J113" s="78"/>
      <c r="K113" s="79"/>
      <c r="L113" s="88"/>
      <c r="M113" s="89"/>
      <c r="N113" s="90"/>
    </row>
    <row r="114" spans="1:14" ht="15.75" x14ac:dyDescent="0.25">
      <c r="A114" s="90"/>
      <c r="B114" s="90"/>
      <c r="C114" s="127"/>
      <c r="D114" s="127"/>
      <c r="E114" s="127"/>
      <c r="F114" s="88"/>
      <c r="G114" s="90"/>
      <c r="H114" s="90"/>
      <c r="I114" s="3"/>
      <c r="J114" s="3"/>
      <c r="K114" s="3"/>
      <c r="L114" s="3"/>
      <c r="M114" s="3"/>
      <c r="N114" s="3"/>
    </row>
    <row r="115" spans="1:14" x14ac:dyDescent="0.25">
      <c r="A115" s="38"/>
      <c r="B115" s="3"/>
      <c r="C115" s="39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1:14" ht="16.5" x14ac:dyDescent="0.25">
      <c r="A116" s="71"/>
      <c r="B116" s="72"/>
      <c r="C116" s="133"/>
      <c r="D116" s="72"/>
      <c r="E116" s="73"/>
      <c r="F116" s="74"/>
      <c r="G116" s="134"/>
      <c r="H116" s="76"/>
      <c r="I116" s="77"/>
      <c r="J116" s="78"/>
      <c r="K116" s="79"/>
      <c r="L116" s="79"/>
      <c r="M116" s="80"/>
      <c r="N116" s="81"/>
    </row>
    <row r="117" spans="1:14" ht="15.75" x14ac:dyDescent="0.25">
      <c r="A117" s="82"/>
      <c r="B117" s="83"/>
      <c r="C117" s="135"/>
      <c r="D117" s="83"/>
      <c r="E117" s="82"/>
      <c r="F117" s="84"/>
      <c r="G117" s="85"/>
      <c r="H117" s="86"/>
      <c r="I117" s="87"/>
      <c r="J117" s="78"/>
      <c r="K117" s="79"/>
      <c r="L117" s="88"/>
      <c r="M117" s="89"/>
      <c r="N117" s="90"/>
    </row>
    <row r="118" spans="1:14" ht="15.75" x14ac:dyDescent="0.25">
      <c r="A118" s="90"/>
      <c r="B118" s="90"/>
      <c r="C118" s="127"/>
      <c r="D118" s="127"/>
      <c r="E118" s="127"/>
      <c r="F118" s="88"/>
      <c r="G118" s="90"/>
      <c r="H118" s="90"/>
      <c r="I118" s="3"/>
      <c r="J118" s="3"/>
      <c r="K118" s="3"/>
      <c r="L118" s="3"/>
      <c r="M118" s="3"/>
      <c r="N118" s="3"/>
    </row>
    <row r="119" spans="1:14" x14ac:dyDescent="0.25">
      <c r="A119" s="38"/>
      <c r="B119" s="3"/>
      <c r="C119" s="39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1:14" ht="15.75" x14ac:dyDescent="0.25">
      <c r="A120" s="82"/>
      <c r="B120" s="83"/>
      <c r="C120" s="135"/>
      <c r="D120" s="135"/>
      <c r="E120" s="82"/>
      <c r="F120" s="84"/>
      <c r="G120" s="86"/>
      <c r="H120" s="86"/>
      <c r="I120" s="3"/>
      <c r="J120" s="3"/>
      <c r="K120" s="3"/>
      <c r="L120" s="3"/>
      <c r="M120" s="3"/>
      <c r="N120" s="3"/>
    </row>
    <row r="121" spans="1:14" ht="16.5" x14ac:dyDescent="0.25">
      <c r="A121" s="71"/>
      <c r="B121" s="136"/>
      <c r="C121" s="133"/>
      <c r="D121" s="133"/>
      <c r="E121" s="137"/>
      <c r="F121" s="138"/>
      <c r="G121" s="139"/>
      <c r="H121" s="105"/>
      <c r="I121" s="3"/>
      <c r="J121" s="11"/>
      <c r="K121" s="3"/>
      <c r="L121" s="3"/>
      <c r="M121" s="3"/>
      <c r="N121" s="3"/>
    </row>
    <row r="122" spans="1:14" ht="15.75" x14ac:dyDescent="0.25">
      <c r="A122" s="90"/>
      <c r="B122" s="90"/>
      <c r="C122" s="127"/>
      <c r="D122" s="127"/>
      <c r="E122" s="127"/>
      <c r="F122" s="88"/>
      <c r="G122" s="90"/>
      <c r="H122" s="90"/>
      <c r="I122" s="3"/>
      <c r="J122" s="3"/>
      <c r="K122" s="3"/>
      <c r="L122" s="3"/>
      <c r="M122" s="3"/>
      <c r="N122" s="3"/>
    </row>
    <row r="123" spans="1:14" x14ac:dyDescent="0.25">
      <c r="A123" s="38"/>
      <c r="B123" s="3"/>
      <c r="C123" s="39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1:14" ht="15.75" x14ac:dyDescent="0.25">
      <c r="A124" s="71"/>
      <c r="B124" s="83"/>
      <c r="C124" s="135"/>
      <c r="D124" s="135"/>
      <c r="E124" s="137"/>
      <c r="F124" s="138"/>
      <c r="G124" s="139"/>
      <c r="H124" s="76"/>
      <c r="I124" s="140"/>
      <c r="J124" s="141"/>
      <c r="K124" s="3"/>
      <c r="L124" s="3"/>
      <c r="M124" s="3"/>
      <c r="N124" s="142"/>
    </row>
    <row r="125" spans="1:14" ht="16.5" x14ac:dyDescent="0.25">
      <c r="A125" s="82"/>
      <c r="B125" s="83"/>
      <c r="C125" s="133"/>
      <c r="D125" s="133"/>
      <c r="E125" s="82"/>
      <c r="F125" s="84"/>
      <c r="G125" s="85"/>
      <c r="H125" s="86"/>
      <c r="I125" s="3"/>
      <c r="J125" s="3"/>
      <c r="K125" s="3"/>
      <c r="L125" s="3"/>
      <c r="M125" s="3"/>
      <c r="N125" s="142"/>
    </row>
    <row r="126" spans="1:14" ht="15.75" x14ac:dyDescent="0.25">
      <c r="A126" s="90"/>
      <c r="B126" s="90"/>
      <c r="C126" s="127"/>
      <c r="D126" s="127"/>
      <c r="E126" s="127"/>
      <c r="F126" s="88"/>
      <c r="G126" s="90"/>
      <c r="H126" s="90"/>
      <c r="I126" s="3"/>
      <c r="J126" s="3"/>
      <c r="K126" s="3"/>
      <c r="L126" s="3"/>
      <c r="M126" s="3"/>
      <c r="N126" s="3"/>
    </row>
    <row r="127" spans="1:14" x14ac:dyDescent="0.25">
      <c r="A127" s="38"/>
      <c r="B127" s="3"/>
      <c r="C127" s="39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spans="1:14" ht="15.75" x14ac:dyDescent="0.25">
      <c r="A128" s="82"/>
      <c r="B128" s="83"/>
      <c r="C128" s="83"/>
      <c r="D128" s="131"/>
      <c r="E128" s="82"/>
      <c r="F128" s="84"/>
      <c r="G128" s="143"/>
      <c r="H128" s="86"/>
      <c r="I128" s="3"/>
      <c r="J128" s="3"/>
      <c r="K128" s="3"/>
      <c r="L128" s="3"/>
      <c r="M128" s="3"/>
      <c r="N128" s="3"/>
    </row>
    <row r="129" spans="1:14" ht="16.5" x14ac:dyDescent="0.25">
      <c r="A129" s="71"/>
      <c r="B129" s="136"/>
      <c r="C129" s="136"/>
      <c r="D129" s="144"/>
      <c r="E129" s="137"/>
      <c r="F129" s="138"/>
      <c r="G129" s="139"/>
      <c r="H129" s="105"/>
      <c r="I129" s="3"/>
      <c r="J129" s="3"/>
      <c r="K129" s="3"/>
      <c r="L129" s="3"/>
      <c r="M129" s="3"/>
      <c r="N129" s="3"/>
    </row>
    <row r="130" spans="1:14" ht="15.75" x14ac:dyDescent="0.25">
      <c r="A130" s="90"/>
      <c r="B130" s="90"/>
      <c r="C130" s="127"/>
      <c r="D130" s="127"/>
      <c r="E130" s="127"/>
      <c r="F130" s="88"/>
      <c r="G130" s="90"/>
      <c r="H130" s="90"/>
      <c r="I130" s="3"/>
      <c r="J130" s="3"/>
      <c r="K130" s="3"/>
      <c r="L130" s="3"/>
      <c r="M130" s="3"/>
      <c r="N130" s="3"/>
    </row>
    <row r="131" spans="1:14" x14ac:dyDescent="0.25">
      <c r="A131" s="38"/>
      <c r="B131" s="3"/>
      <c r="C131" s="39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1:14" ht="16.5" x14ac:dyDescent="0.25">
      <c r="A132" s="71"/>
      <c r="B132" s="136"/>
      <c r="C132" s="83"/>
      <c r="D132" s="83"/>
      <c r="E132" s="82"/>
      <c r="F132" s="138"/>
      <c r="G132" s="145"/>
      <c r="H132" s="76"/>
      <c r="I132" s="140"/>
      <c r="J132" s="141"/>
      <c r="K132" s="3"/>
      <c r="L132" s="3"/>
      <c r="M132" s="3"/>
      <c r="N132" s="142"/>
    </row>
    <row r="133" spans="1:14" ht="16.5" x14ac:dyDescent="0.25">
      <c r="A133" s="82"/>
      <c r="B133" s="83"/>
      <c r="C133" s="136"/>
      <c r="D133" s="136"/>
      <c r="E133" s="137"/>
      <c r="F133" s="84"/>
      <c r="G133" s="85"/>
      <c r="H133" s="86"/>
      <c r="I133" s="3"/>
      <c r="J133" s="3"/>
      <c r="K133" s="3"/>
      <c r="L133" s="3"/>
      <c r="M133" s="3"/>
      <c r="N133" s="142"/>
    </row>
    <row r="134" spans="1:14" ht="15.75" x14ac:dyDescent="0.25">
      <c r="A134" s="142"/>
      <c r="B134" s="37"/>
      <c r="C134" s="37"/>
      <c r="D134" s="37"/>
      <c r="E134" s="142"/>
      <c r="F134" s="142"/>
      <c r="G134" s="146"/>
      <c r="H134" s="142"/>
      <c r="I134" s="3"/>
      <c r="J134" s="3"/>
      <c r="K134" s="3"/>
      <c r="L134" s="3"/>
      <c r="M134" s="3"/>
      <c r="N134" s="3"/>
    </row>
    <row r="135" spans="1:14" x14ac:dyDescent="0.25">
      <c r="A135" s="38"/>
      <c r="B135" s="3"/>
      <c r="C135" s="39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1:14" ht="16.5" x14ac:dyDescent="0.25">
      <c r="A136" s="71"/>
      <c r="B136" s="136"/>
      <c r="C136" s="82"/>
      <c r="D136" s="82"/>
      <c r="E136" s="82"/>
      <c r="F136" s="137"/>
      <c r="G136" s="86"/>
      <c r="H136" s="86"/>
      <c r="I136" s="140"/>
      <c r="J136" s="141"/>
      <c r="K136" s="3"/>
      <c r="L136" s="3"/>
      <c r="M136" s="3"/>
      <c r="N136" s="3"/>
    </row>
    <row r="137" spans="1:14" ht="16.5" x14ac:dyDescent="0.25">
      <c r="A137" s="82"/>
      <c r="B137" s="82"/>
      <c r="C137" s="136"/>
      <c r="D137" s="136"/>
      <c r="E137" s="137"/>
      <c r="F137" s="137"/>
      <c r="G137" s="139"/>
      <c r="H137" s="105"/>
      <c r="I137" s="3"/>
      <c r="J137" s="3"/>
      <c r="K137" s="3"/>
      <c r="L137" s="3"/>
      <c r="M137" s="3"/>
      <c r="N137" s="3"/>
    </row>
    <row r="138" spans="1:14" x14ac:dyDescent="0.25">
      <c r="A138" s="3"/>
      <c r="B138" s="4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1:14" x14ac:dyDescent="0.25">
      <c r="A139" s="3"/>
      <c r="B139" s="4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1:14" x14ac:dyDescent="0.25">
      <c r="A140" s="3"/>
      <c r="B140" s="4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1:14" x14ac:dyDescent="0.25">
      <c r="A141" s="3"/>
      <c r="B141" s="4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1:14" x14ac:dyDescent="0.25">
      <c r="A142" s="3"/>
      <c r="B142" s="4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1:14" x14ac:dyDescent="0.25">
      <c r="A143" s="3"/>
      <c r="B143" s="4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1:14" x14ac:dyDescent="0.25">
      <c r="A144" s="3"/>
      <c r="B144" s="4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1:14" x14ac:dyDescent="0.25">
      <c r="A145" s="3"/>
      <c r="B145" s="4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1:14" x14ac:dyDescent="0.25">
      <c r="A146" s="3"/>
      <c r="B146" s="4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1:14" x14ac:dyDescent="0.25">
      <c r="A147" s="3"/>
      <c r="B147" s="4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1:14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1:14" x14ac:dyDescent="0.25">
      <c r="A149" s="3"/>
      <c r="B149" s="4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1:14" x14ac:dyDescent="0.25">
      <c r="A150" s="3"/>
      <c r="B150" s="4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</sheetData>
  <mergeCells count="3">
    <mergeCell ref="F17:G17"/>
    <mergeCell ref="H17:I17"/>
    <mergeCell ref="F20:G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Администратор</dc:creator>
  <cp:lastModifiedBy>Администратор</cp:lastModifiedBy>
  <dcterms:created xsi:type="dcterms:W3CDTF">2015-06-05T18:19:34Z</dcterms:created>
  <dcterms:modified xsi:type="dcterms:W3CDTF">2026-06-11T05:33:37Z</dcterms:modified>
</cp:coreProperties>
</file>