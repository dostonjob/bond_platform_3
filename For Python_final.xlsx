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Администратор\Downloads\"/>
    </mc:Choice>
  </mc:AlternateContent>
  <xr:revisionPtr revIDLastSave="0" documentId="13_ncr:1_{C6F38CF0-0DA4-40B5-B65C-19D80B4D0E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+S+B+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" i="2" l="1"/>
  <c r="B22" i="2"/>
  <c r="L22" i="2"/>
  <c r="N77" i="2"/>
  <c r="X76" i="2"/>
  <c r="Q76" i="2"/>
  <c r="D76" i="2"/>
  <c r="C76" i="2"/>
  <c r="F44" i="2" s="1"/>
  <c r="A76" i="2"/>
  <c r="Q75" i="2"/>
  <c r="D75" i="2"/>
  <c r="C75" i="2"/>
  <c r="Q74" i="2"/>
  <c r="D74" i="2"/>
  <c r="Q73" i="2"/>
  <c r="D73" i="2"/>
  <c r="C73" i="2"/>
  <c r="Q72" i="2"/>
  <c r="D72" i="2"/>
  <c r="Q71" i="2"/>
  <c r="D71" i="2"/>
  <c r="C71" i="2"/>
  <c r="Q70" i="2"/>
  <c r="D70" i="2"/>
  <c r="Q69" i="2"/>
  <c r="D69" i="2"/>
  <c r="C69" i="2"/>
  <c r="Q68" i="2"/>
  <c r="D68" i="2"/>
  <c r="Q67" i="2"/>
  <c r="D67" i="2"/>
  <c r="C67" i="2"/>
  <c r="Q66" i="2"/>
  <c r="D66" i="2"/>
  <c r="K65" i="2"/>
  <c r="Q64" i="2"/>
  <c r="D64" i="2"/>
  <c r="C64" i="2"/>
  <c r="Q63" i="2"/>
  <c r="D63" i="2"/>
  <c r="Q62" i="2"/>
  <c r="D62" i="2"/>
  <c r="C62" i="2"/>
  <c r="Q61" i="2"/>
  <c r="D61" i="2"/>
  <c r="Q60" i="2"/>
  <c r="D60" i="2"/>
  <c r="C60" i="2"/>
  <c r="I59" i="2"/>
  <c r="E59" i="2"/>
  <c r="D58" i="2"/>
  <c r="D57" i="2"/>
  <c r="D56" i="2"/>
  <c r="D55" i="2"/>
  <c r="C55" i="2"/>
  <c r="D54" i="2"/>
  <c r="K53" i="2"/>
  <c r="D52" i="2"/>
  <c r="F52" i="2" s="1"/>
  <c r="I52" i="2" s="1"/>
  <c r="C52" i="2"/>
  <c r="D51" i="2"/>
  <c r="D50" i="2"/>
  <c r="J49" i="2"/>
  <c r="D49" i="2"/>
  <c r="F49" i="2" s="1"/>
  <c r="I49" i="2" s="1"/>
  <c r="C49" i="2"/>
  <c r="D48" i="2"/>
  <c r="D47" i="2"/>
  <c r="C47" i="2"/>
  <c r="F47" i="2" s="1"/>
  <c r="D46" i="2"/>
  <c r="C46" i="2"/>
  <c r="F46" i="2" s="1"/>
  <c r="I46" i="2" s="1"/>
  <c r="D45" i="2"/>
  <c r="D44" i="2"/>
  <c r="C44" i="2"/>
  <c r="D43" i="2"/>
  <c r="C43" i="2"/>
  <c r="D42" i="2"/>
  <c r="D41" i="2"/>
  <c r="I40" i="2"/>
  <c r="K40" i="2" s="1"/>
  <c r="C39" i="2"/>
  <c r="F39" i="2" s="1"/>
  <c r="E39" i="2" s="1"/>
  <c r="C36" i="2"/>
  <c r="C35" i="2"/>
  <c r="C34" i="2"/>
  <c r="F34" i="2" s="1"/>
  <c r="L33" i="2"/>
  <c r="L34" i="2" s="1"/>
  <c r="H33" i="2"/>
  <c r="G33" i="2"/>
  <c r="D33" i="2"/>
  <c r="F33" i="2" s="1"/>
  <c r="E33" i="2" s="1"/>
  <c r="A33" i="2"/>
  <c r="L32" i="2"/>
  <c r="G32" i="2"/>
  <c r="I32" i="2" s="1"/>
  <c r="E32" i="2"/>
  <c r="D32" i="2"/>
  <c r="C32" i="2"/>
  <c r="C33" i="2" s="1"/>
  <c r="B32" i="2"/>
  <c r="B33" i="2" s="1"/>
  <c r="R29" i="2"/>
  <c r="L29" i="2"/>
  <c r="B29" i="2"/>
  <c r="L28" i="2"/>
  <c r="B28" i="2"/>
  <c r="E40" i="2" s="1"/>
  <c r="L26" i="2"/>
  <c r="B26" i="2"/>
  <c r="L25" i="2"/>
  <c r="B25" i="2"/>
  <c r="R21" i="2"/>
  <c r="L21" i="2"/>
  <c r="B21" i="2"/>
  <c r="L14" i="2"/>
  <c r="B14" i="2"/>
  <c r="B13" i="2"/>
  <c r="B11" i="2"/>
  <c r="L6" i="2"/>
  <c r="B6" i="2"/>
  <c r="H18" i="2" s="1"/>
  <c r="H3" i="2"/>
  <c r="H4" i="2" s="1"/>
  <c r="H5" i="2" s="1"/>
  <c r="F71" i="2" l="1"/>
  <c r="H6" i="2"/>
  <c r="F75" i="2" s="1"/>
  <c r="F55" i="2"/>
  <c r="J41" i="2"/>
  <c r="J45" i="2"/>
  <c r="J42" i="2"/>
  <c r="J44" i="2"/>
  <c r="H19" i="2"/>
  <c r="J46" i="2"/>
  <c r="J43" i="2"/>
  <c r="J60" i="2"/>
  <c r="J47" i="2"/>
  <c r="J51" i="2"/>
  <c r="J50" i="2"/>
  <c r="J48" i="2"/>
  <c r="J34" i="2"/>
  <c r="J52" i="2"/>
  <c r="I34" i="2"/>
  <c r="E34" i="2"/>
  <c r="I33" i="2"/>
  <c r="K33" i="2" s="1"/>
  <c r="I47" i="2"/>
  <c r="F76" i="2"/>
  <c r="F40" i="2"/>
  <c r="F73" i="2"/>
  <c r="F56" i="2"/>
  <c r="F48" i="2"/>
  <c r="I48" i="2" s="1"/>
  <c r="I45" i="2"/>
  <c r="K32" i="2"/>
  <c r="I44" i="2"/>
  <c r="I39" i="2"/>
  <c r="K39" i="2" s="1"/>
  <c r="K59" i="2"/>
  <c r="F36" i="2"/>
  <c r="I36" i="2" s="1"/>
  <c r="K36" i="2" s="1"/>
  <c r="B7" i="2"/>
  <c r="J32" i="2"/>
  <c r="J33" i="2" s="1"/>
  <c r="F64" i="2"/>
  <c r="F62" i="2"/>
  <c r="F60" i="2"/>
  <c r="F43" i="2"/>
  <c r="I43" i="2" s="1"/>
  <c r="F37" i="2"/>
  <c r="I37" i="2" s="1"/>
  <c r="F58" i="2"/>
  <c r="F38" i="2"/>
  <c r="I38" i="2" s="1"/>
  <c r="K38" i="2" s="1"/>
  <c r="F69" i="2"/>
  <c r="F74" i="2"/>
  <c r="F35" i="2"/>
  <c r="E35" i="2" s="1"/>
  <c r="E36" i="2"/>
  <c r="E38" i="2"/>
  <c r="E37" i="2"/>
  <c r="C50" i="2"/>
  <c r="F50" i="2" s="1"/>
  <c r="I50" i="2" s="1"/>
  <c r="C57" i="2"/>
  <c r="F57" i="2" s="1"/>
  <c r="C41" i="2"/>
  <c r="F41" i="2" s="1"/>
  <c r="C38" i="2"/>
  <c r="C74" i="2"/>
  <c r="C72" i="2"/>
  <c r="C70" i="2"/>
  <c r="F70" i="2" s="1"/>
  <c r="C68" i="2"/>
  <c r="F68" i="2" s="1"/>
  <c r="C66" i="2"/>
  <c r="F66" i="2" s="1"/>
  <c r="C54" i="2"/>
  <c r="F54" i="2" s="1"/>
  <c r="I54" i="2" s="1"/>
  <c r="C51" i="2"/>
  <c r="F51" i="2" s="1"/>
  <c r="I51" i="2" s="1"/>
  <c r="C63" i="2"/>
  <c r="F63" i="2" s="1"/>
  <c r="C61" i="2"/>
  <c r="F61" i="2" s="1"/>
  <c r="C56" i="2"/>
  <c r="C37" i="2"/>
  <c r="C58" i="2"/>
  <c r="C42" i="2"/>
  <c r="F42" i="2" s="1"/>
  <c r="I42" i="2" s="1"/>
  <c r="C45" i="2"/>
  <c r="F45" i="2" s="1"/>
  <c r="C48" i="2"/>
  <c r="F18" i="2"/>
  <c r="F67" i="2"/>
  <c r="F72" i="2"/>
  <c r="O38" i="2" l="1"/>
  <c r="X38" i="2"/>
  <c r="X36" i="2"/>
  <c r="O36" i="2"/>
  <c r="O33" i="2"/>
  <c r="M33" i="2"/>
  <c r="N33" i="2" s="1"/>
  <c r="P33" i="2" s="1"/>
  <c r="K34" i="2"/>
  <c r="I41" i="2"/>
  <c r="E41" i="2"/>
  <c r="K50" i="2"/>
  <c r="I35" i="2"/>
  <c r="K35" i="2" s="1"/>
  <c r="H20" i="2"/>
  <c r="J39" i="2"/>
  <c r="J35" i="2"/>
  <c r="J38" i="2"/>
  <c r="J57" i="2"/>
  <c r="J54" i="2"/>
  <c r="J56" i="2"/>
  <c r="J55" i="2"/>
  <c r="J36" i="2"/>
  <c r="J58" i="2"/>
  <c r="J37" i="2"/>
  <c r="E52" i="2"/>
  <c r="K52" i="2" s="1"/>
  <c r="E43" i="2"/>
  <c r="K43" i="2" s="1"/>
  <c r="E42" i="2"/>
  <c r="K42" i="2" s="1"/>
  <c r="F19" i="2"/>
  <c r="E51" i="2"/>
  <c r="K51" i="2" s="1"/>
  <c r="E50" i="2"/>
  <c r="E44" i="2"/>
  <c r="K44" i="2" s="1"/>
  <c r="E48" i="2"/>
  <c r="K48" i="2" s="1"/>
  <c r="E47" i="2"/>
  <c r="K47" i="2" s="1"/>
  <c r="E54" i="2"/>
  <c r="L10" i="2" s="1"/>
  <c r="L11" i="2" s="1"/>
  <c r="E46" i="2"/>
  <c r="K46" i="2" s="1"/>
  <c r="E45" i="2"/>
  <c r="K45" i="2" s="1"/>
  <c r="E49" i="2"/>
  <c r="K49" i="2" s="1"/>
  <c r="X39" i="2"/>
  <c r="O39" i="2"/>
  <c r="K37" i="2"/>
  <c r="M43" i="2"/>
  <c r="N43" i="2" s="1"/>
  <c r="M47" i="2"/>
  <c r="N47" i="2" s="1"/>
  <c r="M44" i="2"/>
  <c r="N44" i="2" s="1"/>
  <c r="M39" i="2"/>
  <c r="N39" i="2" s="1"/>
  <c r="P39" i="2" s="1"/>
  <c r="O32" i="2"/>
  <c r="M46" i="2"/>
  <c r="N46" i="2" s="1"/>
  <c r="M48" i="2"/>
  <c r="N48" i="2" s="1"/>
  <c r="M35" i="2"/>
  <c r="N35" i="2" s="1"/>
  <c r="M74" i="2"/>
  <c r="N74" i="2" s="1"/>
  <c r="M69" i="2"/>
  <c r="N69" i="2" s="1"/>
  <c r="M38" i="2"/>
  <c r="N38" i="2" s="1"/>
  <c r="P38" i="2" s="1"/>
  <c r="M54" i="2"/>
  <c r="N54" i="2" s="1"/>
  <c r="M63" i="2"/>
  <c r="N63" i="2" s="1"/>
  <c r="M50" i="2"/>
  <c r="N50" i="2" s="1"/>
  <c r="M76" i="2"/>
  <c r="N76" i="2" s="1"/>
  <c r="M71" i="2"/>
  <c r="N71" i="2" s="1"/>
  <c r="M62" i="2"/>
  <c r="N62" i="2" s="1"/>
  <c r="M34" i="2"/>
  <c r="N34" i="2" s="1"/>
  <c r="M67" i="2"/>
  <c r="N67" i="2" s="1"/>
  <c r="M36" i="2"/>
  <c r="N36" i="2" s="1"/>
  <c r="P36" i="2" s="1"/>
  <c r="M70" i="2"/>
  <c r="N70" i="2" s="1"/>
  <c r="M51" i="2"/>
  <c r="N51" i="2" s="1"/>
  <c r="M66" i="2"/>
  <c r="N66" i="2" s="1"/>
  <c r="M75" i="2"/>
  <c r="N75" i="2" s="1"/>
  <c r="M72" i="2"/>
  <c r="N72" i="2" s="1"/>
  <c r="M61" i="2"/>
  <c r="N61" i="2" s="1"/>
  <c r="M42" i="2"/>
  <c r="N42" i="2" s="1"/>
  <c r="M41" i="2"/>
  <c r="N41" i="2" s="1"/>
  <c r="M52" i="2"/>
  <c r="N52" i="2" s="1"/>
  <c r="M64" i="2"/>
  <c r="N64" i="2" s="1"/>
  <c r="M45" i="2"/>
  <c r="N45" i="2" s="1"/>
  <c r="M49" i="2"/>
  <c r="N49" i="2" s="1"/>
  <c r="M37" i="2"/>
  <c r="N37" i="2" s="1"/>
  <c r="M73" i="2"/>
  <c r="N73" i="2" s="1"/>
  <c r="M68" i="2"/>
  <c r="N68" i="2" s="1"/>
  <c r="X44" i="2" l="1"/>
  <c r="O44" i="2"/>
  <c r="X51" i="2"/>
  <c r="O51" i="2"/>
  <c r="X42" i="2"/>
  <c r="O42" i="2"/>
  <c r="X43" i="2"/>
  <c r="Y43" i="2" s="1"/>
  <c r="O43" i="2"/>
  <c r="O45" i="2"/>
  <c r="X45" i="2"/>
  <c r="Y45" i="2" s="1"/>
  <c r="X47" i="2"/>
  <c r="Y47" i="2" s="1"/>
  <c r="O47" i="2"/>
  <c r="X48" i="2"/>
  <c r="Y48" i="2" s="1"/>
  <c r="O48" i="2"/>
  <c r="P48" i="2" s="1"/>
  <c r="O49" i="2"/>
  <c r="X49" i="2"/>
  <c r="Y49" i="2" s="1"/>
  <c r="X50" i="2"/>
  <c r="Y50" i="2" s="1"/>
  <c r="O50" i="2"/>
  <c r="P50" i="2" s="1"/>
  <c r="P51" i="2"/>
  <c r="K41" i="2"/>
  <c r="X34" i="2"/>
  <c r="Y34" i="2" s="1"/>
  <c r="O34" i="2"/>
  <c r="P34" i="2"/>
  <c r="K54" i="2"/>
  <c r="X52" i="2"/>
  <c r="O52" i="2"/>
  <c r="P45" i="2"/>
  <c r="P46" i="2"/>
  <c r="P52" i="2"/>
  <c r="P44" i="2"/>
  <c r="P42" i="2"/>
  <c r="P47" i="2"/>
  <c r="P43" i="2"/>
  <c r="X37" i="2"/>
  <c r="Y37" i="2" s="1"/>
  <c r="O37" i="2"/>
  <c r="P37" i="2" s="1"/>
  <c r="J62" i="2"/>
  <c r="J63" i="2"/>
  <c r="J61" i="2"/>
  <c r="H21" i="2"/>
  <c r="J64" i="2"/>
  <c r="Y39" i="2"/>
  <c r="O35" i="2"/>
  <c r="X35" i="2"/>
  <c r="O46" i="2"/>
  <c r="X46" i="2"/>
  <c r="E55" i="2"/>
  <c r="E56" i="2"/>
  <c r="F20" i="2"/>
  <c r="E58" i="2"/>
  <c r="E57" i="2"/>
  <c r="P49" i="2"/>
  <c r="P35" i="2"/>
  <c r="E63" i="2" l="1"/>
  <c r="E61" i="2"/>
  <c r="E60" i="2"/>
  <c r="E66" i="2"/>
  <c r="R25" i="2" s="1"/>
  <c r="F21" i="2"/>
  <c r="E64" i="2"/>
  <c r="E62" i="2"/>
  <c r="Y46" i="2"/>
  <c r="Y35" i="2"/>
  <c r="Y52" i="2"/>
  <c r="Y36" i="2"/>
  <c r="X54" i="2"/>
  <c r="Y54" i="2" s="1"/>
  <c r="O54" i="2"/>
  <c r="P54" i="2" s="1"/>
  <c r="I53" i="2"/>
  <c r="X41" i="2"/>
  <c r="Y41" i="2" s="1"/>
  <c r="O41" i="2"/>
  <c r="P41" i="2" s="1"/>
  <c r="Y38" i="2"/>
  <c r="Y51" i="2"/>
  <c r="J74" i="2"/>
  <c r="J69" i="2"/>
  <c r="J66" i="2"/>
  <c r="J73" i="2"/>
  <c r="J76" i="2"/>
  <c r="J67" i="2"/>
  <c r="J70" i="2"/>
  <c r="J75" i="2"/>
  <c r="J71" i="2"/>
  <c r="J72" i="2"/>
  <c r="J68" i="2"/>
  <c r="Y44" i="2"/>
  <c r="I55" i="2" l="1"/>
  <c r="K55" i="2" s="1"/>
  <c r="I66" i="2"/>
  <c r="I62" i="2"/>
  <c r="K62" i="2" s="1"/>
  <c r="I64" i="2"/>
  <c r="K64" i="2" s="1"/>
  <c r="I56" i="2"/>
  <c r="K56" i="2" s="1"/>
  <c r="I63" i="2"/>
  <c r="K63" i="2" s="1"/>
  <c r="I61" i="2"/>
  <c r="K61" i="2" s="1"/>
  <c r="I57" i="2"/>
  <c r="K57" i="2" s="1"/>
  <c r="I58" i="2"/>
  <c r="K58" i="2" s="1"/>
  <c r="I60" i="2"/>
  <c r="K60" i="2" s="1"/>
  <c r="Y42" i="2"/>
  <c r="E76" i="2"/>
  <c r="E72" i="2"/>
  <c r="E67" i="2"/>
  <c r="E74" i="2"/>
  <c r="E73" i="2"/>
  <c r="E70" i="2"/>
  <c r="E69" i="2"/>
  <c r="E71" i="2"/>
  <c r="E75" i="2"/>
  <c r="E68" i="2"/>
  <c r="R26" i="2"/>
  <c r="O57" i="2" l="1"/>
  <c r="P57" i="2" s="1"/>
  <c r="X57" i="2"/>
  <c r="M57" i="2"/>
  <c r="N57" i="2" s="1"/>
  <c r="X61" i="2"/>
  <c r="O61" i="2"/>
  <c r="P61" i="2" s="1"/>
  <c r="X56" i="2"/>
  <c r="O56" i="2"/>
  <c r="M56" i="2"/>
  <c r="N56" i="2" s="1"/>
  <c r="P56" i="2" s="1"/>
  <c r="X64" i="2"/>
  <c r="Y64" i="2" s="1"/>
  <c r="O64" i="2"/>
  <c r="P64" i="2" s="1"/>
  <c r="X62" i="2"/>
  <c r="Y62" i="2" s="1"/>
  <c r="O62" i="2"/>
  <c r="P62" i="2" s="1"/>
  <c r="K66" i="2"/>
  <c r="X55" i="2"/>
  <c r="Y55" i="2" s="1"/>
  <c r="O55" i="2"/>
  <c r="M55" i="2"/>
  <c r="N55" i="2" s="1"/>
  <c r="P55" i="2" s="1"/>
  <c r="X60" i="2"/>
  <c r="O60" i="2"/>
  <c r="M60" i="2"/>
  <c r="N60" i="2" s="1"/>
  <c r="P60" i="2" s="1"/>
  <c r="O58" i="2"/>
  <c r="X58" i="2"/>
  <c r="Y58" i="2" s="1"/>
  <c r="M58" i="2"/>
  <c r="N58" i="2" s="1"/>
  <c r="P58" i="2" s="1"/>
  <c r="X63" i="2"/>
  <c r="O63" i="2"/>
  <c r="P63" i="2" s="1"/>
  <c r="Y60" i="2" l="1"/>
  <c r="X66" i="2"/>
  <c r="Y66" i="2" s="1"/>
  <c r="O66" i="2"/>
  <c r="P66" i="2" s="1"/>
  <c r="Y61" i="2"/>
  <c r="Y56" i="2"/>
  <c r="Y57" i="2"/>
  <c r="I65" i="2"/>
  <c r="Y63" i="2"/>
  <c r="I68" i="2" l="1"/>
  <c r="K68" i="2" s="1"/>
  <c r="I73" i="2"/>
  <c r="K73" i="2" s="1"/>
  <c r="I74" i="2"/>
  <c r="K74" i="2" s="1"/>
  <c r="I76" i="2"/>
  <c r="K76" i="2" s="1"/>
  <c r="I71" i="2"/>
  <c r="K71" i="2" s="1"/>
  <c r="I75" i="2"/>
  <c r="K75" i="2" s="1"/>
  <c r="I72" i="2"/>
  <c r="K72" i="2" s="1"/>
  <c r="I70" i="2"/>
  <c r="K70" i="2" s="1"/>
  <c r="I67" i="2"/>
  <c r="K67" i="2" s="1"/>
  <c r="I69" i="2"/>
  <c r="K69" i="2" s="1"/>
  <c r="X68" i="2" l="1"/>
  <c r="O68" i="2"/>
  <c r="P68" i="2" s="1"/>
  <c r="X69" i="2"/>
  <c r="Y69" i="2" s="1"/>
  <c r="O69" i="2"/>
  <c r="P69" i="2" s="1"/>
  <c r="X67" i="2"/>
  <c r="Y67" i="2" s="1"/>
  <c r="O67" i="2"/>
  <c r="P67" i="2" s="1"/>
  <c r="O70" i="2"/>
  <c r="P70" i="2" s="1"/>
  <c r="X70" i="2"/>
  <c r="Y70" i="2" s="1"/>
  <c r="X72" i="2"/>
  <c r="O72" i="2"/>
  <c r="P72" i="2" s="1"/>
  <c r="X75" i="2"/>
  <c r="O75" i="2"/>
  <c r="P75" i="2" s="1"/>
  <c r="X71" i="2"/>
  <c r="O71" i="2"/>
  <c r="P71" i="2" s="1"/>
  <c r="O76" i="2"/>
  <c r="P76" i="2" s="1"/>
  <c r="C77" i="2"/>
  <c r="B77" i="2" s="1"/>
  <c r="X74" i="2"/>
  <c r="O74" i="2"/>
  <c r="P74" i="2" s="1"/>
  <c r="X73" i="2"/>
  <c r="Y73" i="2" s="1"/>
  <c r="O73" i="2"/>
  <c r="P73" i="2" s="1"/>
  <c r="Y74" i="2" l="1"/>
  <c r="Y72" i="2"/>
  <c r="Y71" i="2"/>
  <c r="Y75" i="2"/>
  <c r="Y76" i="2"/>
  <c r="Y68" i="2"/>
</calcChain>
</file>

<file path=xl/sharedStrings.xml><?xml version="1.0" encoding="utf-8"?>
<sst xmlns="http://schemas.openxmlformats.org/spreadsheetml/2006/main" count="120" uniqueCount="56">
  <si>
    <t>ISIN</t>
  </si>
  <si>
    <t>Payment Date</t>
  </si>
  <si>
    <t>CUSIP</t>
  </si>
  <si>
    <t xml:space="preserve">Nominal </t>
  </si>
  <si>
    <t>Running WAC</t>
  </si>
  <si>
    <t>Par value</t>
  </si>
  <si>
    <t>Buy</t>
  </si>
  <si>
    <t>Sale 1</t>
  </si>
  <si>
    <t>Clean Trade
Price</t>
  </si>
  <si>
    <t>Coupon rate</t>
  </si>
  <si>
    <t>Sell</t>
  </si>
  <si>
    <t>Coupon Amount</t>
  </si>
  <si>
    <t>Accrued Interest</t>
  </si>
  <si>
    <t>Interest Days</t>
  </si>
  <si>
    <t>Settle date</t>
  </si>
  <si>
    <t>Last Interest date</t>
  </si>
  <si>
    <t xml:space="preserve">Unamortized Discount </t>
  </si>
  <si>
    <t>Next Interest date</t>
  </si>
  <si>
    <t>Amortized Discount</t>
  </si>
  <si>
    <t>Maturity date</t>
  </si>
  <si>
    <t>Discount</t>
  </si>
  <si>
    <t>Premium</t>
  </si>
  <si>
    <t xml:space="preserve">Remaining Discount to be amortized </t>
  </si>
  <si>
    <t>New Coupon to be accrued</t>
  </si>
  <si>
    <t>Sale 2</t>
  </si>
  <si>
    <t>Remaining Premium to be amortized</t>
  </si>
  <si>
    <t>Cashflow Dates</t>
  </si>
  <si>
    <t>Cashflow</t>
  </si>
  <si>
    <t>Nominal</t>
  </si>
  <si>
    <t># of Days</t>
  </si>
  <si>
    <t>Bond Discount</t>
  </si>
  <si>
    <t>Cummulative  Amortization
Discount</t>
  </si>
  <si>
    <t>Bond Premium</t>
  </si>
  <si>
    <t>Cummulative  Amortization
Premium</t>
  </si>
  <si>
    <t>Ending Carrying Value</t>
  </si>
  <si>
    <t>Price</t>
  </si>
  <si>
    <t>MTM</t>
  </si>
  <si>
    <t>OCI G/L</t>
  </si>
  <si>
    <t>NAV</t>
  </si>
  <si>
    <t>Check</t>
  </si>
  <si>
    <t>P&amp;L (Sell)</t>
  </si>
  <si>
    <t>Interest income</t>
  </si>
  <si>
    <t>Total P&amp;L</t>
  </si>
  <si>
    <t>WAC</t>
  </si>
  <si>
    <t>Default probability (DRSK)</t>
  </si>
  <si>
    <t>LGD (1-CDS recovery rate)</t>
  </si>
  <si>
    <t>Expected loss</t>
  </si>
  <si>
    <t>Change</t>
  </si>
  <si>
    <t>Buy 1</t>
  </si>
  <si>
    <t>Sell 1</t>
  </si>
  <si>
    <t>Buy 2</t>
  </si>
  <si>
    <t>Sell 2</t>
  </si>
  <si>
    <t>buy 1</t>
  </si>
  <si>
    <t>buy 2</t>
  </si>
  <si>
    <t>buy 3</t>
  </si>
  <si>
    <t>US91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</si>
</sst>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.00000_-;\-* #,##0.00000_-;_-* &quot;-&quot;??_-;_-@_-"/>
    <numFmt numFmtId="167" formatCode="_-* #,##0.00\ _₽_-;\-* #,##0.00\ _₽_-;_-* &quot;-&quot;??\ _₽_-;_-@_-"/>
    <numFmt numFmtId="168" formatCode="[$-409]d\-mmm\-yy;@"/>
    <numFmt numFmtId="169" formatCode="[$-409]dd\-mmm\-yy;@"/>
    <numFmt numFmtId="170" formatCode="_-* #,##0_-;\-* #,##0_-;_-* &quot;-&quot;??_-;_-@_-"/>
    <numFmt numFmtId="171" formatCode="_(* #,##0.000000000000000000000000_);_(* \(#,##0.000000000000000000000000\);_(* &quot;-&quot;??_);_(@_)"/>
    <numFmt numFmtId="172" formatCode="_(* #,##0.0000000_);_(* \(#,##0.0000000\);_(* &quot;-&quot;??_);_(@_)"/>
    <numFmt numFmtId="173" formatCode="0.000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charset val="204"/>
      <scheme val="minor"/>
    </font>
    <font>
      <b/>
      <sz val="26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48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sz val="48"/>
      <color theme="1"/>
      <name val="Calibri"/>
      <family val="2"/>
      <charset val="204"/>
      <scheme val="minor"/>
    </font>
    <font>
      <b/>
      <sz val="10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3" fillId="2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vertical="top"/>
    </xf>
    <xf numFmtId="14" fontId="2" fillId="0" borderId="4" xfId="0" applyNumberFormat="1" applyFont="1" applyBorder="1" applyAlignment="1">
      <alignment vertical="top"/>
    </xf>
    <xf numFmtId="0" fontId="0" fillId="0" borderId="0" xfId="0" applyAlignment="1">
      <alignment vertical="top"/>
    </xf>
    <xf numFmtId="0" fontId="0" fillId="0" borderId="5" xfId="0" applyBorder="1" applyAlignment="1">
      <alignment horizontal="left" vertical="top"/>
    </xf>
    <xf numFmtId="0" fontId="0" fillId="0" borderId="0" xfId="0" applyAlignment="1">
      <alignment horizontal="left" vertical="top"/>
    </xf>
    <xf numFmtId="14" fontId="2" fillId="0" borderId="0" xfId="0" applyNumberFormat="1" applyFont="1" applyAlignment="1">
      <alignment vertical="top"/>
    </xf>
    <xf numFmtId="0" fontId="3" fillId="2" borderId="6" xfId="0" applyFont="1" applyFill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14" fontId="0" fillId="0" borderId="8" xfId="0" applyNumberFormat="1" applyBorder="1"/>
    <xf numFmtId="0" fontId="4" fillId="0" borderId="7" xfId="0" applyFont="1" applyBorder="1" applyAlignment="1">
      <alignment horizontal="center" vertical="center"/>
    </xf>
    <xf numFmtId="0" fontId="0" fillId="0" borderId="9" xfId="0" applyBorder="1" applyAlignment="1">
      <alignment horizontal="left" vertical="top"/>
    </xf>
    <xf numFmtId="14" fontId="0" fillId="0" borderId="0" xfId="0" applyNumberFormat="1"/>
    <xf numFmtId="43" fontId="0" fillId="3" borderId="7" xfId="3" applyFont="1" applyFill="1" applyBorder="1" applyAlignment="1">
      <alignment vertical="top"/>
    </xf>
    <xf numFmtId="165" fontId="0" fillId="0" borderId="0" xfId="3" applyNumberFormat="1" applyFont="1" applyFill="1" applyBorder="1" applyAlignment="1">
      <alignment vertical="top"/>
    </xf>
    <xf numFmtId="4" fontId="0" fillId="0" borderId="0" xfId="0" applyNumberFormat="1" applyAlignment="1">
      <alignment vertical="top"/>
    </xf>
    <xf numFmtId="164" fontId="5" fillId="0" borderId="0" xfId="1" applyFont="1" applyAlignment="1">
      <alignment horizontal="right" vertical="top"/>
    </xf>
    <xf numFmtId="164" fontId="0" fillId="0" borderId="7" xfId="1" applyFont="1" applyBorder="1"/>
    <xf numFmtId="166" fontId="0" fillId="0" borderId="7" xfId="1" applyNumberFormat="1" applyFont="1" applyBorder="1" applyAlignment="1">
      <alignment vertical="top"/>
    </xf>
    <xf numFmtId="43" fontId="0" fillId="3" borderId="9" xfId="3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8" fillId="4" borderId="7" xfId="0" applyFont="1" applyFill="1" applyBorder="1" applyAlignment="1">
      <alignment vertical="top"/>
    </xf>
    <xf numFmtId="165" fontId="8" fillId="0" borderId="0" xfId="0" applyNumberFormat="1" applyFont="1" applyAlignment="1">
      <alignment vertical="top"/>
    </xf>
    <xf numFmtId="166" fontId="0" fillId="0" borderId="7" xfId="1" applyNumberFormat="1" applyFont="1" applyBorder="1" applyAlignment="1">
      <alignment horizontal="right" vertical="top"/>
    </xf>
    <xf numFmtId="0" fontId="8" fillId="4" borderId="9" xfId="0" applyFont="1" applyFill="1" applyBorder="1" applyAlignment="1">
      <alignment vertical="top"/>
    </xf>
    <xf numFmtId="0" fontId="10" fillId="0" borderId="0" xfId="0" applyFont="1" applyAlignment="1">
      <alignment vertical="center"/>
    </xf>
    <xf numFmtId="0" fontId="0" fillId="4" borderId="7" xfId="0" applyFill="1" applyBorder="1" applyAlignment="1">
      <alignment vertical="top"/>
    </xf>
    <xf numFmtId="166" fontId="0" fillId="0" borderId="7" xfId="1" applyNumberFormat="1" applyFont="1" applyBorder="1"/>
    <xf numFmtId="0" fontId="0" fillId="4" borderId="9" xfId="0" applyFill="1" applyBorder="1" applyAlignment="1">
      <alignment vertical="top"/>
    </xf>
    <xf numFmtId="165" fontId="0" fillId="4" borderId="7" xfId="0" applyNumberFormat="1" applyFill="1" applyBorder="1" applyAlignment="1">
      <alignment vertical="top"/>
    </xf>
    <xf numFmtId="165" fontId="0" fillId="4" borderId="9" xfId="0" applyNumberFormat="1" applyFill="1" applyBorder="1" applyAlignment="1">
      <alignment vertical="top"/>
    </xf>
    <xf numFmtId="43" fontId="0" fillId="4" borderId="7" xfId="0" applyNumberFormat="1" applyFill="1" applyBorder="1" applyAlignment="1">
      <alignment vertical="top"/>
    </xf>
    <xf numFmtId="167" fontId="0" fillId="0" borderId="0" xfId="0" applyNumberFormat="1" applyAlignment="1">
      <alignment vertical="top"/>
    </xf>
    <xf numFmtId="0" fontId="0" fillId="0" borderId="7" xfId="0" applyBorder="1"/>
    <xf numFmtId="43" fontId="0" fillId="4" borderId="9" xfId="0" applyNumberFormat="1" applyFill="1" applyBorder="1" applyAlignment="1">
      <alignment vertical="top"/>
    </xf>
    <xf numFmtId="164" fontId="5" fillId="0" borderId="0" xfId="1" applyFont="1" applyAlignment="1">
      <alignment vertical="top"/>
    </xf>
    <xf numFmtId="14" fontId="0" fillId="0" borderId="7" xfId="0" applyNumberFormat="1" applyBorder="1"/>
    <xf numFmtId="168" fontId="0" fillId="0" borderId="0" xfId="0" applyNumberFormat="1" applyAlignment="1">
      <alignment vertical="top"/>
    </xf>
    <xf numFmtId="164" fontId="0" fillId="0" borderId="7" xfId="1" applyFont="1" applyBorder="1" applyAlignment="1">
      <alignment vertical="top"/>
    </xf>
    <xf numFmtId="0" fontId="0" fillId="0" borderId="7" xfId="0" applyBorder="1" applyAlignment="1">
      <alignment vertical="top"/>
    </xf>
    <xf numFmtId="14" fontId="0" fillId="0" borderId="9" xfId="0" applyNumberFormat="1" applyBorder="1"/>
    <xf numFmtId="3" fontId="0" fillId="0" borderId="0" xfId="0" applyNumberFormat="1"/>
    <xf numFmtId="169" fontId="0" fillId="0" borderId="0" xfId="0" applyNumberFormat="1"/>
    <xf numFmtId="4" fontId="0" fillId="0" borderId="9" xfId="0" applyNumberFormat="1" applyBorder="1" applyAlignment="1">
      <alignment horizontal="right" vertical="top"/>
    </xf>
    <xf numFmtId="3" fontId="0" fillId="0" borderId="0" xfId="0" applyNumberFormat="1" applyAlignment="1">
      <alignment vertical="top"/>
    </xf>
    <xf numFmtId="170" fontId="0" fillId="0" borderId="0" xfId="1" applyNumberFormat="1" applyFont="1"/>
    <xf numFmtId="43" fontId="0" fillId="0" borderId="9" xfId="0" applyNumberFormat="1" applyBorder="1"/>
    <xf numFmtId="168" fontId="0" fillId="0" borderId="8" xfId="0" applyNumberFormat="1" applyBorder="1" applyAlignment="1">
      <alignment vertical="top"/>
    </xf>
    <xf numFmtId="43" fontId="0" fillId="0" borderId="7" xfId="0" applyNumberFormat="1" applyBorder="1" applyAlignment="1">
      <alignment vertical="top"/>
    </xf>
    <xf numFmtId="43" fontId="0" fillId="0" borderId="0" xfId="0" applyNumberFormat="1" applyAlignment="1">
      <alignment vertical="top"/>
    </xf>
    <xf numFmtId="43" fontId="0" fillId="0" borderId="8" xfId="0" applyNumberFormat="1" applyBorder="1" applyAlignment="1">
      <alignment vertical="top"/>
    </xf>
    <xf numFmtId="43" fontId="0" fillId="0" borderId="9" xfId="0" applyNumberFormat="1" applyBorder="1" applyAlignment="1">
      <alignment vertical="top"/>
    </xf>
    <xf numFmtId="0" fontId="3" fillId="2" borderId="11" xfId="0" applyFont="1" applyFill="1" applyBorder="1" applyAlignment="1">
      <alignment horizontal="left" vertical="top"/>
    </xf>
    <xf numFmtId="43" fontId="0" fillId="0" borderId="12" xfId="0" applyNumberFormat="1" applyBorder="1" applyAlignment="1">
      <alignment vertical="top"/>
    </xf>
    <xf numFmtId="43" fontId="0" fillId="0" borderId="13" xfId="0" applyNumberFormat="1" applyBorder="1" applyAlignment="1">
      <alignment vertical="top"/>
    </xf>
    <xf numFmtId="43" fontId="0" fillId="0" borderId="14" xfId="0" applyNumberFormat="1" applyBorder="1" applyAlignment="1">
      <alignment vertical="top"/>
    </xf>
    <xf numFmtId="43" fontId="0" fillId="0" borderId="15" xfId="0" applyNumberFormat="1" applyBorder="1" applyAlignment="1">
      <alignment vertical="top"/>
    </xf>
    <xf numFmtId="164" fontId="0" fillId="0" borderId="0" xfId="1" applyFont="1"/>
    <xf numFmtId="43" fontId="0" fillId="0" borderId="0" xfId="3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171" fontId="0" fillId="0" borderId="0" xfId="0" applyNumberFormat="1" applyAlignment="1">
      <alignment vertical="top"/>
    </xf>
    <xf numFmtId="164" fontId="0" fillId="0" borderId="0" xfId="1" applyFont="1" applyAlignment="1">
      <alignment vertical="top"/>
    </xf>
    <xf numFmtId="43" fontId="0" fillId="0" borderId="0" xfId="0" applyNumberFormat="1"/>
    <xf numFmtId="167" fontId="0" fillId="0" borderId="0" xfId="0" applyNumberFormat="1"/>
    <xf numFmtId="165" fontId="0" fillId="0" borderId="0" xfId="0" applyNumberFormat="1"/>
    <xf numFmtId="168" fontId="0" fillId="0" borderId="0" xfId="0" applyNumberFormat="1" applyAlignment="1">
      <alignment horizontal="right" vertical="top"/>
    </xf>
    <xf numFmtId="168" fontId="0" fillId="0" borderId="7" xfId="0" applyNumberFormat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13" fillId="5" borderId="7" xfId="0" applyFont="1" applyFill="1" applyBorder="1" applyAlignment="1">
      <alignment vertical="top" wrapText="1"/>
    </xf>
    <xf numFmtId="0" fontId="13" fillId="5" borderId="7" xfId="0" applyFont="1" applyFill="1" applyBorder="1" applyAlignment="1">
      <alignment vertical="top"/>
    </xf>
    <xf numFmtId="165" fontId="13" fillId="5" borderId="7" xfId="3" applyNumberFormat="1" applyFont="1" applyFill="1" applyBorder="1" applyAlignment="1">
      <alignment vertical="top" wrapText="1"/>
    </xf>
    <xf numFmtId="165" fontId="13" fillId="5" borderId="0" xfId="3" applyNumberFormat="1" applyFont="1" applyFill="1" applyBorder="1" applyAlignment="1">
      <alignment vertical="top" wrapText="1"/>
    </xf>
    <xf numFmtId="0" fontId="0" fillId="0" borderId="0" xfId="0" applyAlignment="1">
      <alignment horizontal="center" vertical="center" wrapText="1"/>
    </xf>
    <xf numFmtId="14" fontId="0" fillId="6" borderId="0" xfId="0" applyNumberFormat="1" applyFill="1" applyAlignment="1">
      <alignment vertical="top"/>
    </xf>
    <xf numFmtId="43" fontId="0" fillId="7" borderId="0" xfId="3" applyFont="1" applyFill="1" applyAlignment="1">
      <alignment vertical="top"/>
    </xf>
    <xf numFmtId="37" fontId="0" fillId="7" borderId="0" xfId="0" applyNumberFormat="1" applyFill="1" applyAlignment="1">
      <alignment vertical="top"/>
    </xf>
    <xf numFmtId="43" fontId="0" fillId="7" borderId="7" xfId="0" applyNumberFormat="1" applyFill="1" applyBorder="1" applyAlignment="1">
      <alignment vertical="top"/>
    </xf>
    <xf numFmtId="43" fontId="0" fillId="7" borderId="7" xfId="3" applyFont="1" applyFill="1" applyBorder="1" applyAlignment="1">
      <alignment vertical="top"/>
    </xf>
    <xf numFmtId="172" fontId="0" fillId="7" borderId="7" xfId="0" applyNumberFormat="1" applyFill="1" applyBorder="1" applyAlignment="1">
      <alignment vertical="top"/>
    </xf>
    <xf numFmtId="173" fontId="0" fillId="0" borderId="0" xfId="2" applyNumberFormat="1" applyFont="1" applyFill="1" applyAlignment="1">
      <alignment vertical="top"/>
    </xf>
    <xf numFmtId="2" fontId="0" fillId="0" borderId="0" xfId="0" applyNumberFormat="1" applyAlignment="1">
      <alignment vertical="top"/>
    </xf>
    <xf numFmtId="14" fontId="0" fillId="8" borderId="7" xfId="0" applyNumberFormat="1" applyFill="1" applyBorder="1" applyAlignment="1">
      <alignment vertical="top"/>
    </xf>
    <xf numFmtId="43" fontId="0" fillId="0" borderId="0" xfId="3" applyFont="1" applyFill="1" applyAlignment="1">
      <alignment vertical="top"/>
    </xf>
    <xf numFmtId="0" fontId="0" fillId="9" borderId="0" xfId="3" applyNumberFormat="1" applyFont="1" applyFill="1" applyAlignment="1">
      <alignment vertical="top"/>
    </xf>
    <xf numFmtId="37" fontId="0" fillId="9" borderId="0" xfId="0" applyNumberFormat="1" applyFill="1" applyAlignment="1">
      <alignment vertical="top"/>
    </xf>
    <xf numFmtId="172" fontId="0" fillId="0" borderId="7" xfId="0" applyNumberFormat="1" applyBorder="1" applyAlignment="1">
      <alignment vertical="top"/>
    </xf>
    <xf numFmtId="0" fontId="0" fillId="9" borderId="7" xfId="1" applyNumberFormat="1" applyFont="1" applyFill="1" applyBorder="1" applyAlignment="1">
      <alignment vertical="top"/>
    </xf>
    <xf numFmtId="0" fontId="0" fillId="9" borderId="7" xfId="0" applyFill="1" applyBorder="1" applyAlignment="1">
      <alignment vertical="top"/>
    </xf>
    <xf numFmtId="14" fontId="0" fillId="6" borderId="7" xfId="0" applyNumberFormat="1" applyFill="1" applyBorder="1" applyAlignment="1">
      <alignment vertical="top"/>
    </xf>
    <xf numFmtId="14" fontId="0" fillId="10" borderId="7" xfId="0" applyNumberFormat="1" applyFill="1" applyBorder="1" applyAlignment="1">
      <alignment vertical="top"/>
    </xf>
    <xf numFmtId="0" fontId="0" fillId="10" borderId="0" xfId="0" applyFill="1" applyAlignment="1">
      <alignment vertical="top"/>
    </xf>
    <xf numFmtId="0" fontId="0" fillId="10" borderId="0" xfId="3" applyNumberFormat="1" applyFont="1" applyFill="1" applyAlignment="1">
      <alignment vertical="top"/>
    </xf>
    <xf numFmtId="37" fontId="0" fillId="10" borderId="0" xfId="0" applyNumberFormat="1" applyFill="1" applyAlignment="1">
      <alignment vertical="top"/>
    </xf>
    <xf numFmtId="43" fontId="0" fillId="10" borderId="7" xfId="0" applyNumberFormat="1" applyFill="1" applyBorder="1" applyAlignment="1">
      <alignment vertical="top"/>
    </xf>
    <xf numFmtId="43" fontId="0" fillId="10" borderId="7" xfId="3" applyFont="1" applyFill="1" applyBorder="1" applyAlignment="1">
      <alignment vertical="top"/>
    </xf>
    <xf numFmtId="167" fontId="0" fillId="10" borderId="7" xfId="3" applyNumberFormat="1" applyFont="1" applyFill="1" applyBorder="1" applyAlignment="1">
      <alignment vertical="top"/>
    </xf>
    <xf numFmtId="172" fontId="0" fillId="10" borderId="7" xfId="0" applyNumberFormat="1" applyFill="1" applyBorder="1" applyAlignment="1">
      <alignment vertical="top"/>
    </xf>
    <xf numFmtId="0" fontId="8" fillId="0" borderId="0" xfId="0" applyFont="1" applyAlignment="1">
      <alignment vertical="top"/>
    </xf>
    <xf numFmtId="164" fontId="0" fillId="10" borderId="0" xfId="1" applyFont="1" applyFill="1" applyAlignment="1">
      <alignment vertical="top"/>
    </xf>
    <xf numFmtId="37" fontId="0" fillId="0" borderId="0" xfId="0" applyNumberFormat="1" applyAlignment="1">
      <alignment vertical="top"/>
    </xf>
    <xf numFmtId="43" fontId="3" fillId="0" borderId="0" xfId="3" applyFont="1" applyFill="1" applyAlignment="1">
      <alignment vertical="top"/>
    </xf>
    <xf numFmtId="43" fontId="0" fillId="0" borderId="7" xfId="3" applyFont="1" applyFill="1" applyBorder="1" applyAlignment="1">
      <alignment vertical="top"/>
    </xf>
    <xf numFmtId="0" fontId="0" fillId="0" borderId="7" xfId="1" applyNumberFormat="1" applyFont="1" applyFill="1" applyBorder="1" applyAlignment="1">
      <alignment vertical="top"/>
    </xf>
    <xf numFmtId="43" fontId="6" fillId="0" borderId="10" xfId="3" applyFont="1" applyFill="1" applyBorder="1" applyAlignment="1">
      <alignment horizontal="center" vertical="center"/>
    </xf>
    <xf numFmtId="43" fontId="6" fillId="0" borderId="0" xfId="3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4">
    <cellStyle name="Comma 2" xfId="3" xr:uid="{4C250065-9EA8-4FAF-A4DE-6B981B8A1DE6}"/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BCB83-5186-4680-BA8C-47FCED2D9EE2}">
  <sheetPr>
    <tabColor theme="7" tint="0.79998168889431442"/>
  </sheetPr>
  <dimension ref="A1:AF77"/>
  <sheetViews>
    <sheetView tabSelected="1" zoomScale="85" zoomScaleNormal="85" workbookViewId="0">
      <pane ySplit="12090" topLeftCell="A22"/>
      <selection activeCell="H28" sqref="H28"/>
      <selection pane="bottomLeft" activeCell="O74" sqref="O74"/>
    </sheetView>
  </sheetViews>
  <sheetFormatPr defaultColWidth="8.7109375" defaultRowHeight="15" x14ac:dyDescent="0.25"/>
  <cols>
    <col min="1" max="1" width="23.140625" style="5" customWidth="1"/>
    <col min="2" max="2" width="17.7109375" style="5" bestFit="1" customWidth="1"/>
    <col min="3" max="3" width="18.28515625" style="5" bestFit="1" customWidth="1"/>
    <col min="4" max="4" width="13.5703125" style="5" customWidth="1"/>
    <col min="5" max="5" width="35" style="5" customWidth="1"/>
    <col min="6" max="6" width="17" style="5" customWidth="1"/>
    <col min="7" max="7" width="20.85546875" style="5" customWidth="1"/>
    <col min="8" max="8" width="20.5703125" style="5" customWidth="1"/>
    <col min="9" max="9" width="18.140625" style="5" customWidth="1"/>
    <col min="10" max="10" width="19" style="5" customWidth="1"/>
    <col min="11" max="11" width="22.140625" style="5" customWidth="1"/>
    <col min="12" max="12" width="16.7109375" style="5" bestFit="1" customWidth="1"/>
    <col min="13" max="13" width="17.85546875" style="5" bestFit="1" customWidth="1"/>
    <col min="14" max="14" width="15.85546875" style="5" bestFit="1" customWidth="1"/>
    <col min="15" max="15" width="17.7109375" style="5" bestFit="1" customWidth="1"/>
    <col min="16" max="16" width="15.85546875" style="5" bestFit="1" customWidth="1"/>
    <col min="17" max="17" width="23.42578125" style="5" bestFit="1" customWidth="1"/>
    <col min="18" max="18" width="16.42578125" style="5" bestFit="1" customWidth="1"/>
    <col min="19" max="19" width="18.85546875" style="5" customWidth="1"/>
    <col min="20" max="20" width="16.42578125" style="5" bestFit="1" customWidth="1"/>
    <col min="21" max="21" width="11.42578125" style="5" customWidth="1"/>
    <col min="22" max="22" width="11.5703125" style="5" customWidth="1"/>
    <col min="23" max="23" width="13.7109375" style="5" customWidth="1"/>
    <col min="24" max="24" width="10.5703125" style="5" bestFit="1" customWidth="1"/>
    <col min="25" max="25" width="11.140625" style="5" bestFit="1" customWidth="1"/>
    <col min="26" max="31" width="8.7109375" style="5"/>
    <col min="32" max="32" width="11.7109375" style="5" bestFit="1" customWidth="1"/>
    <col min="33" max="16384" width="8.7109375" style="5"/>
  </cols>
  <sheetData>
    <row r="1" spans="1:21" x14ac:dyDescent="0.25">
      <c r="A1" s="1" t="s">
        <v>0</v>
      </c>
      <c r="B1" s="2" t="s">
        <v>55</v>
      </c>
      <c r="C1" s="3"/>
      <c r="D1" s="4" t="s">
        <v>1</v>
      </c>
      <c r="F1"/>
      <c r="H1"/>
      <c r="I1"/>
      <c r="J1"/>
      <c r="K1" s="1" t="s">
        <v>0</v>
      </c>
      <c r="L1" s="6" t="s">
        <v>55</v>
      </c>
      <c r="M1" s="7"/>
      <c r="O1" s="8"/>
      <c r="U1" s="8"/>
    </row>
    <row r="2" spans="1:21" ht="18.75" x14ac:dyDescent="0.25">
      <c r="A2" s="9" t="s">
        <v>2</v>
      </c>
      <c r="B2" s="10">
        <v>91</v>
      </c>
      <c r="D2" s="11">
        <v>46234</v>
      </c>
      <c r="F2"/>
      <c r="H2" s="12" t="s">
        <v>3</v>
      </c>
      <c r="I2" s="12" t="s">
        <v>4</v>
      </c>
      <c r="J2"/>
      <c r="K2" s="9" t="s">
        <v>2</v>
      </c>
      <c r="L2" s="13">
        <v>91</v>
      </c>
      <c r="M2" s="7"/>
      <c r="O2" s="14"/>
      <c r="U2" s="14"/>
    </row>
    <row r="3" spans="1:21" ht="15" customHeight="1" x14ac:dyDescent="0.25">
      <c r="A3" s="9" t="s">
        <v>5</v>
      </c>
      <c r="B3" s="15">
        <v>137000000</v>
      </c>
      <c r="C3" s="16"/>
      <c r="D3" s="11">
        <v>46418</v>
      </c>
      <c r="E3" s="17"/>
      <c r="F3"/>
      <c r="G3" s="18" t="s">
        <v>6</v>
      </c>
      <c r="H3" s="19">
        <f>B3</f>
        <v>137000000</v>
      </c>
      <c r="I3" s="20"/>
      <c r="K3" s="9" t="s">
        <v>5</v>
      </c>
      <c r="L3" s="21">
        <v>-5900000</v>
      </c>
      <c r="M3" s="105" t="s">
        <v>7</v>
      </c>
      <c r="N3" s="106"/>
      <c r="O3" s="14"/>
      <c r="T3" s="22"/>
      <c r="U3" s="22"/>
    </row>
    <row r="4" spans="1:21" ht="15" customHeight="1" x14ac:dyDescent="0.25">
      <c r="A4" s="9" t="s">
        <v>8</v>
      </c>
      <c r="B4" s="23">
        <v>99.86328125</v>
      </c>
      <c r="C4" s="24"/>
      <c r="D4" s="11">
        <v>46599</v>
      </c>
      <c r="E4" s="108" t="s">
        <v>52</v>
      </c>
      <c r="F4"/>
      <c r="G4" s="18" t="s">
        <v>6</v>
      </c>
      <c r="H4" s="19">
        <f>H3+B18</f>
        <v>142900000</v>
      </c>
      <c r="I4" s="25"/>
      <c r="K4" s="9" t="s">
        <v>8</v>
      </c>
      <c r="L4" s="26"/>
      <c r="M4" s="105"/>
      <c r="N4" s="106"/>
      <c r="O4" s="14"/>
      <c r="P4" s="27"/>
      <c r="Q4" s="27"/>
      <c r="T4" s="22"/>
      <c r="U4" s="22"/>
    </row>
    <row r="5" spans="1:21" ht="15" customHeight="1" x14ac:dyDescent="0.25">
      <c r="A5" s="9" t="s">
        <v>9</v>
      </c>
      <c r="B5" s="28">
        <v>4</v>
      </c>
      <c r="D5" s="11">
        <v>46783</v>
      </c>
      <c r="E5" s="108"/>
      <c r="F5"/>
      <c r="G5" s="18" t="s">
        <v>10</v>
      </c>
      <c r="H5" s="19">
        <f>H4+L3</f>
        <v>137000000</v>
      </c>
      <c r="I5" s="29"/>
      <c r="K5" s="9" t="s">
        <v>9</v>
      </c>
      <c r="L5" s="30">
        <v>4</v>
      </c>
      <c r="M5" s="105"/>
      <c r="N5" s="106"/>
      <c r="O5" s="14"/>
      <c r="P5" s="27"/>
      <c r="Q5" s="27"/>
      <c r="T5" s="22"/>
      <c r="U5" s="22"/>
    </row>
    <row r="6" spans="1:21" ht="15" customHeight="1" x14ac:dyDescent="0.25">
      <c r="A6" s="9" t="s">
        <v>11</v>
      </c>
      <c r="B6" s="31">
        <f>($B$3*($B$5/2/100))</f>
        <v>2740000</v>
      </c>
      <c r="D6" s="11">
        <v>46965</v>
      </c>
      <c r="E6" s="108"/>
      <c r="F6"/>
      <c r="G6" s="18" t="s">
        <v>6</v>
      </c>
      <c r="H6" s="19">
        <f>H5+L18</f>
        <v>142900000</v>
      </c>
      <c r="I6" s="25"/>
      <c r="K6" s="9" t="s">
        <v>11</v>
      </c>
      <c r="L6" s="32">
        <f>($L$3*($L$5/2/100))</f>
        <v>-118000</v>
      </c>
      <c r="M6" s="105"/>
      <c r="N6" s="106"/>
      <c r="O6" s="14"/>
      <c r="P6" s="27"/>
      <c r="Q6" s="27"/>
      <c r="T6" s="22"/>
      <c r="U6" s="22"/>
    </row>
    <row r="7" spans="1:21" ht="15.75" customHeight="1" x14ac:dyDescent="0.25">
      <c r="A7" s="9" t="s">
        <v>12</v>
      </c>
      <c r="B7" s="33">
        <f>(B9-B10)/(B11-B10)*(B3*B5/2/100)</f>
        <v>1559226.5193370166</v>
      </c>
      <c r="C7" s="34"/>
      <c r="D7" s="11">
        <v>47149</v>
      </c>
      <c r="E7" s="108"/>
      <c r="F7"/>
      <c r="G7" s="18" t="s">
        <v>10</v>
      </c>
      <c r="H7" s="19">
        <f>H6+R18</f>
        <v>136900000</v>
      </c>
      <c r="I7" s="35"/>
      <c r="J7"/>
      <c r="K7" s="9" t="s">
        <v>12</v>
      </c>
      <c r="L7" s="36"/>
      <c r="M7" s="105"/>
      <c r="N7" s="106"/>
      <c r="O7" s="14"/>
      <c r="P7" s="27"/>
      <c r="Q7" s="27"/>
      <c r="T7" s="22"/>
      <c r="U7" s="22"/>
    </row>
    <row r="8" spans="1:21" ht="15.75" customHeight="1" x14ac:dyDescent="0.25">
      <c r="A8" s="9" t="s">
        <v>13</v>
      </c>
      <c r="B8" s="28">
        <v>180</v>
      </c>
      <c r="D8" s="11">
        <v>47330</v>
      </c>
      <c r="E8" s="108"/>
      <c r="F8"/>
      <c r="G8" s="37"/>
      <c r="H8" s="19"/>
      <c r="I8" s="35"/>
      <c r="J8"/>
      <c r="K8" s="9" t="s">
        <v>13</v>
      </c>
      <c r="L8" s="30">
        <v>180</v>
      </c>
      <c r="M8" s="105"/>
      <c r="N8" s="106"/>
      <c r="O8" s="14"/>
      <c r="P8" s="27"/>
      <c r="Q8" s="27"/>
      <c r="T8" s="22"/>
      <c r="U8" s="22"/>
    </row>
    <row r="9" spans="1:21" x14ac:dyDescent="0.25">
      <c r="A9" s="9" t="s">
        <v>14</v>
      </c>
      <c r="B9" s="38">
        <v>46156</v>
      </c>
      <c r="C9" s="39"/>
      <c r="D9" s="11"/>
      <c r="E9" s="17"/>
      <c r="H9" s="40"/>
      <c r="I9" s="41"/>
      <c r="K9" s="9" t="s">
        <v>14</v>
      </c>
      <c r="L9" s="42">
        <v>46721</v>
      </c>
      <c r="M9" s="39"/>
    </row>
    <row r="10" spans="1:21" x14ac:dyDescent="0.25">
      <c r="A10" s="9" t="s">
        <v>15</v>
      </c>
      <c r="B10" s="38">
        <v>46053</v>
      </c>
      <c r="C10" s="39"/>
      <c r="D10" s="11"/>
      <c r="E10" s="17"/>
      <c r="F10"/>
      <c r="H10" s="43"/>
      <c r="J10" s="44"/>
      <c r="K10" s="9" t="s">
        <v>16</v>
      </c>
      <c r="L10" s="45">
        <f>-E54*(1-H5/H4)</f>
        <v>4558.9661644979142</v>
      </c>
      <c r="M10" s="39"/>
    </row>
    <row r="11" spans="1:21" x14ac:dyDescent="0.25">
      <c r="A11" s="9" t="s">
        <v>17</v>
      </c>
      <c r="B11" s="38">
        <f>D2</f>
        <v>46234</v>
      </c>
      <c r="C11" s="39"/>
      <c r="D11" s="11"/>
      <c r="E11" s="17"/>
      <c r="F11"/>
      <c r="G11" s="46"/>
      <c r="H11" s="47"/>
      <c r="I11" s="44"/>
      <c r="J11" s="44"/>
      <c r="K11" s="9" t="s">
        <v>18</v>
      </c>
      <c r="L11" s="48">
        <f>-((F18-F19)+L10)</f>
        <v>4049.8237515272695</v>
      </c>
      <c r="M11" s="14"/>
    </row>
    <row r="12" spans="1:21" x14ac:dyDescent="0.25">
      <c r="A12" s="9" t="s">
        <v>19</v>
      </c>
      <c r="B12" s="38">
        <v>47330</v>
      </c>
      <c r="C12" s="39"/>
      <c r="D12" s="49"/>
      <c r="F12"/>
      <c r="H12" s="43"/>
      <c r="I12" s="44"/>
      <c r="J12" s="44"/>
      <c r="K12" s="9" t="s">
        <v>19</v>
      </c>
      <c r="L12" s="42">
        <v>47330</v>
      </c>
      <c r="M12" s="14"/>
    </row>
    <row r="13" spans="1:21" x14ac:dyDescent="0.25">
      <c r="A13" s="9" t="s">
        <v>20</v>
      </c>
      <c r="B13" s="50">
        <f>IF(B4&lt;100,ROUND((($B$4/100)-1)*$B$3,2),0)</f>
        <v>-187304.69</v>
      </c>
      <c r="C13" s="51"/>
      <c r="D13" s="52"/>
      <c r="F13"/>
      <c r="H13"/>
      <c r="I13"/>
      <c r="J13"/>
      <c r="K13" s="9" t="s">
        <v>20</v>
      </c>
      <c r="L13" s="53"/>
      <c r="M13" s="51"/>
    </row>
    <row r="14" spans="1:21" ht="15.75" thickBot="1" x14ac:dyDescent="0.3">
      <c r="A14" s="54" t="s">
        <v>21</v>
      </c>
      <c r="B14" s="55">
        <f>IF(B4&gt;=100,ROUND((($B$4/100)-1)*$B$3,2),0)</f>
        <v>0</v>
      </c>
      <c r="C14" s="56"/>
      <c r="D14" s="57"/>
      <c r="F14"/>
      <c r="H14" s="43"/>
      <c r="I14"/>
      <c r="J14"/>
      <c r="K14" s="54"/>
      <c r="L14" s="58">
        <f>IF(L4&gt;=100,ROUND((($B$19/100)-1)*$B$18,2),0)</f>
        <v>0</v>
      </c>
      <c r="M14" s="51"/>
    </row>
    <row r="15" spans="1:21" ht="15.75" thickBot="1" x14ac:dyDescent="0.3">
      <c r="F15"/>
      <c r="H15" s="43"/>
      <c r="I15"/>
      <c r="J15"/>
    </row>
    <row r="16" spans="1:21" x14ac:dyDescent="0.25">
      <c r="A16" s="1" t="s">
        <v>0</v>
      </c>
      <c r="B16" s="2" t="s">
        <v>55</v>
      </c>
      <c r="C16" s="3"/>
      <c r="D16" s="4" t="s">
        <v>1</v>
      </c>
      <c r="F16"/>
      <c r="H16"/>
      <c r="I16"/>
      <c r="J16"/>
      <c r="K16" s="1" t="s">
        <v>0</v>
      </c>
      <c r="L16" s="2" t="s">
        <v>55</v>
      </c>
      <c r="M16" s="3"/>
      <c r="N16" s="4" t="s">
        <v>1</v>
      </c>
      <c r="O16" s="8"/>
      <c r="Q16" s="1" t="s">
        <v>0</v>
      </c>
      <c r="R16" s="6" t="s">
        <v>55</v>
      </c>
      <c r="S16" s="7"/>
    </row>
    <row r="17" spans="1:25" x14ac:dyDescent="0.25">
      <c r="A17" s="9" t="s">
        <v>2</v>
      </c>
      <c r="B17" s="10">
        <v>91</v>
      </c>
      <c r="D17" s="11">
        <v>46234</v>
      </c>
      <c r="F17" s="107" t="s">
        <v>22</v>
      </c>
      <c r="G17" s="107"/>
      <c r="H17" s="107" t="s">
        <v>23</v>
      </c>
      <c r="I17" s="107"/>
      <c r="J17"/>
      <c r="K17" s="9" t="s">
        <v>2</v>
      </c>
      <c r="L17" s="10">
        <v>91</v>
      </c>
      <c r="N17" s="11">
        <v>46234</v>
      </c>
      <c r="O17" s="14"/>
      <c r="Q17" s="9" t="s">
        <v>2</v>
      </c>
      <c r="R17" s="13">
        <v>91</v>
      </c>
      <c r="S17" s="7"/>
    </row>
    <row r="18" spans="1:25" ht="15" customHeight="1" x14ac:dyDescent="0.25">
      <c r="A18" s="9" t="s">
        <v>5</v>
      </c>
      <c r="B18" s="15">
        <v>5900000</v>
      </c>
      <c r="C18" s="16"/>
      <c r="D18" s="11">
        <v>46418</v>
      </c>
      <c r="E18" s="109" t="s">
        <v>53</v>
      </c>
      <c r="F18" s="59">
        <f>B13+B28</f>
        <v>-208507.81</v>
      </c>
      <c r="G18" s="17"/>
      <c r="H18" s="59">
        <f>B6+B21</f>
        <v>2858000</v>
      </c>
      <c r="I18"/>
      <c r="J18"/>
      <c r="K18" s="9" t="s">
        <v>5</v>
      </c>
      <c r="L18" s="15">
        <v>5900000</v>
      </c>
      <c r="M18" s="16"/>
      <c r="N18" s="11">
        <v>46418</v>
      </c>
      <c r="O18" s="14"/>
      <c r="P18" s="27"/>
      <c r="Q18" s="9" t="s">
        <v>5</v>
      </c>
      <c r="R18" s="21">
        <v>-6000000</v>
      </c>
      <c r="S18" s="60"/>
      <c r="T18" s="61"/>
      <c r="U18" s="61"/>
    </row>
    <row r="19" spans="1:25" ht="15" customHeight="1" x14ac:dyDescent="0.25">
      <c r="A19" s="9" t="s">
        <v>8</v>
      </c>
      <c r="B19" s="23">
        <v>99.640625</v>
      </c>
      <c r="C19" s="24"/>
      <c r="D19" s="11">
        <v>46599</v>
      </c>
      <c r="E19" s="109"/>
      <c r="F19" s="59">
        <f>F18*H5/H4</f>
        <v>-199899.02008397481</v>
      </c>
      <c r="G19" s="62"/>
      <c r="H19" s="59">
        <f>H18+L6</f>
        <v>2740000</v>
      </c>
      <c r="I19"/>
      <c r="J19"/>
      <c r="K19" s="9" t="s">
        <v>8</v>
      </c>
      <c r="L19" s="23">
        <v>99.62</v>
      </c>
      <c r="M19" s="24"/>
      <c r="N19" s="11">
        <v>46599</v>
      </c>
      <c r="O19" s="110" t="s">
        <v>54</v>
      </c>
      <c r="P19" s="111"/>
      <c r="Q19" s="9" t="s">
        <v>8</v>
      </c>
      <c r="R19" s="26"/>
      <c r="S19" s="105" t="s">
        <v>24</v>
      </c>
      <c r="T19" s="106"/>
      <c r="U19" s="61"/>
    </row>
    <row r="20" spans="1:25" ht="15" customHeight="1" x14ac:dyDescent="0.25">
      <c r="A20" s="9" t="s">
        <v>9</v>
      </c>
      <c r="B20" s="28">
        <v>4</v>
      </c>
      <c r="D20" s="11">
        <v>46783</v>
      </c>
      <c r="E20" s="109"/>
      <c r="F20" s="63">
        <f>F19+L28</f>
        <v>-222319.02008397481</v>
      </c>
      <c r="H20" s="59">
        <f>H19+L21</f>
        <v>2858000</v>
      </c>
      <c r="I20"/>
      <c r="J20"/>
      <c r="K20" s="9" t="s">
        <v>9</v>
      </c>
      <c r="L20" s="28">
        <v>4</v>
      </c>
      <c r="N20" s="11">
        <v>46783</v>
      </c>
      <c r="O20" s="110"/>
      <c r="P20" s="111"/>
      <c r="Q20" s="9" t="s">
        <v>9</v>
      </c>
      <c r="R20" s="30">
        <v>4</v>
      </c>
      <c r="S20" s="105"/>
      <c r="T20" s="106"/>
      <c r="U20" s="61"/>
    </row>
    <row r="21" spans="1:25" ht="15" customHeight="1" x14ac:dyDescent="0.25">
      <c r="A21" s="9" t="s">
        <v>11</v>
      </c>
      <c r="B21" s="31">
        <f>($B$18*($B$20/2/100))</f>
        <v>118000</v>
      </c>
      <c r="D21" s="11">
        <v>46965</v>
      </c>
      <c r="E21" s="109"/>
      <c r="F21" s="63">
        <f>F20*H7/H6</f>
        <v>-212984.42161998706</v>
      </c>
      <c r="H21" s="59">
        <f>H20+R21</f>
        <v>2738000</v>
      </c>
      <c r="I21" s="64"/>
      <c r="J21"/>
      <c r="K21" s="9" t="s">
        <v>11</v>
      </c>
      <c r="L21" s="31">
        <f>($B$18*($B$20/2/100))</f>
        <v>118000</v>
      </c>
      <c r="N21" s="11">
        <v>46965</v>
      </c>
      <c r="O21" s="110"/>
      <c r="P21" s="111"/>
      <c r="Q21" s="9" t="s">
        <v>11</v>
      </c>
      <c r="R21" s="32">
        <f>($R$18*($R$20/2/100))</f>
        <v>-120000</v>
      </c>
      <c r="S21" s="105"/>
      <c r="T21" s="106"/>
      <c r="U21" s="61"/>
    </row>
    <row r="22" spans="1:25" ht="15" customHeight="1" x14ac:dyDescent="0.25">
      <c r="A22" s="9" t="s">
        <v>12</v>
      </c>
      <c r="B22" s="33">
        <f>(B24-B25)/(B26-B25)*(B18*B20/2/100)</f>
        <v>78239.130434782608</v>
      </c>
      <c r="C22" s="34"/>
      <c r="D22" s="11">
        <v>47149</v>
      </c>
      <c r="E22" s="109"/>
      <c r="F22" s="63"/>
      <c r="H22" s="65"/>
      <c r="I22"/>
      <c r="J22"/>
      <c r="K22" s="9" t="s">
        <v>12</v>
      </c>
      <c r="L22" s="33">
        <f>(L24-L25)/(L26-L25)*(L18*L20/2/100)</f>
        <v>58351.648351648357</v>
      </c>
      <c r="M22" s="34"/>
      <c r="N22" s="11">
        <v>47149</v>
      </c>
      <c r="O22" s="110"/>
      <c r="P22" s="111"/>
      <c r="Q22" s="9" t="s">
        <v>12</v>
      </c>
      <c r="R22" s="36"/>
      <c r="S22" s="105"/>
      <c r="T22" s="106"/>
      <c r="U22" s="61"/>
    </row>
    <row r="23" spans="1:25" ht="15" customHeight="1" x14ac:dyDescent="0.25">
      <c r="A23" s="9" t="s">
        <v>13</v>
      </c>
      <c r="B23" s="28">
        <v>180</v>
      </c>
      <c r="D23" s="11">
        <v>47330</v>
      </c>
      <c r="E23" s="109"/>
      <c r="F23" s="107" t="s">
        <v>25</v>
      </c>
      <c r="G23" s="107"/>
      <c r="H23"/>
      <c r="I23"/>
      <c r="J23"/>
      <c r="K23" s="9" t="s">
        <v>13</v>
      </c>
      <c r="L23" s="28">
        <v>180</v>
      </c>
      <c r="N23" s="11">
        <v>47330</v>
      </c>
      <c r="O23" s="110"/>
      <c r="P23" s="111"/>
      <c r="Q23" s="9" t="s">
        <v>13</v>
      </c>
      <c r="R23" s="30">
        <v>180</v>
      </c>
      <c r="S23" s="105"/>
      <c r="T23" s="106"/>
      <c r="U23" s="61"/>
    </row>
    <row r="24" spans="1:25" x14ac:dyDescent="0.25">
      <c r="A24" s="9" t="s">
        <v>14</v>
      </c>
      <c r="B24" s="38">
        <v>46356</v>
      </c>
      <c r="C24" s="39"/>
      <c r="D24" s="11"/>
      <c r="E24" s="17"/>
      <c r="F24" s="66"/>
      <c r="K24" s="9" t="s">
        <v>14</v>
      </c>
      <c r="L24" s="38">
        <v>46873</v>
      </c>
      <c r="M24" s="39"/>
      <c r="N24" s="11"/>
      <c r="Q24" s="9" t="s">
        <v>14</v>
      </c>
      <c r="R24" s="42">
        <v>47026</v>
      </c>
      <c r="S24" s="67"/>
    </row>
    <row r="25" spans="1:25" x14ac:dyDescent="0.25">
      <c r="A25" s="9" t="s">
        <v>15</v>
      </c>
      <c r="B25" s="68">
        <f>D17</f>
        <v>46234</v>
      </c>
      <c r="C25" s="39"/>
      <c r="D25" s="11"/>
      <c r="E25" s="17"/>
      <c r="F25" s="17"/>
      <c r="H25" s="65"/>
      <c r="I25" s="44"/>
      <c r="J25" s="34"/>
      <c r="K25" s="9" t="s">
        <v>15</v>
      </c>
      <c r="L25" s="68">
        <f>N20</f>
        <v>46783</v>
      </c>
      <c r="M25" s="39"/>
      <c r="N25" s="11"/>
      <c r="Q25" s="9" t="s">
        <v>16</v>
      </c>
      <c r="R25" s="45">
        <f>-E66*(1-H7/H6)</f>
        <v>2844.9580227798542</v>
      </c>
      <c r="S25" s="69"/>
    </row>
    <row r="26" spans="1:25" x14ac:dyDescent="0.25">
      <c r="A26" s="9" t="s">
        <v>17</v>
      </c>
      <c r="B26" s="38">
        <f>D18</f>
        <v>46418</v>
      </c>
      <c r="C26" s="39"/>
      <c r="D26" s="11"/>
      <c r="E26" s="17"/>
      <c r="F26" s="65"/>
      <c r="H26" s="65"/>
      <c r="I26" s="44"/>
      <c r="J26" s="34"/>
      <c r="K26" s="9" t="s">
        <v>17</v>
      </c>
      <c r="L26" s="38">
        <f>N21</f>
        <v>46965</v>
      </c>
      <c r="M26" s="39"/>
      <c r="N26" s="11"/>
      <c r="Q26" s="9" t="s">
        <v>18</v>
      </c>
      <c r="R26" s="48">
        <f>-((F20-F21)+R25)</f>
        <v>6489.6404412079028</v>
      </c>
      <c r="S26" s="64"/>
    </row>
    <row r="27" spans="1:25" x14ac:dyDescent="0.25">
      <c r="A27" s="9" t="s">
        <v>19</v>
      </c>
      <c r="B27" s="38">
        <v>47330</v>
      </c>
      <c r="C27" s="39"/>
      <c r="D27" s="49"/>
      <c r="F27" s="65"/>
      <c r="H27"/>
      <c r="I27" s="44"/>
      <c r="J27" s="34"/>
      <c r="K27" s="9" t="s">
        <v>19</v>
      </c>
      <c r="L27" s="38">
        <v>47330</v>
      </c>
      <c r="M27" s="39"/>
      <c r="N27" s="49"/>
      <c r="Q27" s="9" t="s">
        <v>19</v>
      </c>
      <c r="R27" s="42">
        <v>47330</v>
      </c>
      <c r="S27" s="14"/>
    </row>
    <row r="28" spans="1:25" x14ac:dyDescent="0.25">
      <c r="A28" s="9" t="s">
        <v>20</v>
      </c>
      <c r="B28" s="50">
        <f>IF(B19&lt;100,ROUND((($B$19/100)-1)*$B$18,2),0)</f>
        <v>-21203.119999999999</v>
      </c>
      <c r="C28" s="51"/>
      <c r="D28" s="52"/>
      <c r="F28" s="65"/>
      <c r="G28" s="34"/>
      <c r="H28" s="65"/>
      <c r="I28"/>
      <c r="K28" s="9" t="s">
        <v>20</v>
      </c>
      <c r="L28" s="50">
        <f>IF(L19&lt;100,ROUND((($L$19/100)-1)*$L$18,2),0)</f>
        <v>-22420</v>
      </c>
      <c r="M28" s="51"/>
      <c r="N28" s="52"/>
      <c r="Q28" s="9" t="s">
        <v>20</v>
      </c>
      <c r="R28" s="53"/>
      <c r="S28" s="51"/>
    </row>
    <row r="29" spans="1:25" ht="15.75" thickBot="1" x14ac:dyDescent="0.3">
      <c r="A29" s="54" t="s">
        <v>21</v>
      </c>
      <c r="B29" s="55">
        <f>IF(B19&gt;=100,ROUND((($B$19/100)-1)*$B$18,2),0)</f>
        <v>0</v>
      </c>
      <c r="C29" s="56"/>
      <c r="D29" s="57"/>
      <c r="F29" s="65"/>
      <c r="H29" s="65"/>
      <c r="I29"/>
      <c r="J29"/>
      <c r="K29" s="54" t="s">
        <v>21</v>
      </c>
      <c r="L29" s="55">
        <f>IF(L19&gt;=100,ROUND((($B$19/100)-1)*$B$18,2),0)</f>
        <v>0</v>
      </c>
      <c r="M29" s="56"/>
      <c r="N29" s="57"/>
      <c r="Q29" s="54"/>
      <c r="R29" s="58">
        <f>IF(R19&gt;=100,ROUND((($B$19/100)-1)*$B$18,2),0)</f>
        <v>0</v>
      </c>
      <c r="S29" s="51"/>
    </row>
    <row r="31" spans="1:25" ht="45" x14ac:dyDescent="0.25">
      <c r="A31" s="70" t="s">
        <v>26</v>
      </c>
      <c r="B31" s="71" t="s">
        <v>27</v>
      </c>
      <c r="C31" s="71" t="s">
        <v>28</v>
      </c>
      <c r="D31" s="70" t="s">
        <v>29</v>
      </c>
      <c r="E31" s="70" t="s">
        <v>30</v>
      </c>
      <c r="F31" s="72" t="s">
        <v>31</v>
      </c>
      <c r="G31" s="70" t="s">
        <v>32</v>
      </c>
      <c r="H31" s="72" t="s">
        <v>33</v>
      </c>
      <c r="I31" s="72" t="s">
        <v>34</v>
      </c>
      <c r="J31" s="72" t="s">
        <v>12</v>
      </c>
      <c r="K31" s="73" t="s">
        <v>28</v>
      </c>
      <c r="L31" s="72" t="s">
        <v>35</v>
      </c>
      <c r="M31" s="72" t="s">
        <v>36</v>
      </c>
      <c r="N31" s="72" t="s">
        <v>37</v>
      </c>
      <c r="O31" s="72" t="s">
        <v>38</v>
      </c>
      <c r="P31" s="73" t="s">
        <v>39</v>
      </c>
      <c r="Q31" s="73" t="s">
        <v>40</v>
      </c>
      <c r="R31" s="73" t="s">
        <v>41</v>
      </c>
      <c r="S31" s="73" t="s">
        <v>42</v>
      </c>
      <c r="T31" s="73" t="s">
        <v>43</v>
      </c>
      <c r="U31" s="5" t="s">
        <v>39</v>
      </c>
      <c r="V31" s="74" t="s">
        <v>44</v>
      </c>
      <c r="W31" s="74" t="s">
        <v>45</v>
      </c>
      <c r="X31" s="74" t="s">
        <v>46</v>
      </c>
      <c r="Y31" s="74" t="s">
        <v>47</v>
      </c>
    </row>
    <row r="32" spans="1:25" x14ac:dyDescent="0.25">
      <c r="A32" s="75"/>
      <c r="B32" s="76">
        <f>ROUND(-B4*B3/100,2)</f>
        <v>-136812695.31</v>
      </c>
      <c r="C32" s="76">
        <f>B3</f>
        <v>137000000</v>
      </c>
      <c r="D32" s="77">
        <f>A32-$A$32</f>
        <v>0</v>
      </c>
      <c r="E32" s="78">
        <f>+B13</f>
        <v>-187304.69</v>
      </c>
      <c r="F32" s="79"/>
      <c r="G32" s="78">
        <f>+B14</f>
        <v>0</v>
      </c>
      <c r="H32" s="79"/>
      <c r="I32" s="79">
        <f>+B3+G32+E32</f>
        <v>136812695.31</v>
      </c>
      <c r="J32" s="79">
        <f>((B9-B10)/(B11-B10))*(B3*(B5/2/100))</f>
        <v>1559226.5193370166</v>
      </c>
      <c r="K32" s="79">
        <f>I32-G32-E32</f>
        <v>137000000</v>
      </c>
      <c r="L32" s="80">
        <f>B4</f>
        <v>99.86328125</v>
      </c>
      <c r="M32" s="78"/>
      <c r="N32" s="78"/>
      <c r="O32" s="78">
        <f t="shared" ref="O32:O76" si="0">ROUND(K32*L32/100,2)</f>
        <v>136812695.31</v>
      </c>
      <c r="V32" s="81"/>
      <c r="W32" s="82"/>
      <c r="X32" s="82"/>
    </row>
    <row r="33" spans="1:26" x14ac:dyDescent="0.25">
      <c r="A33" s="75">
        <f>B9</f>
        <v>46156</v>
      </c>
      <c r="B33" s="76">
        <f>+B32</f>
        <v>-136812695.31</v>
      </c>
      <c r="C33" s="76">
        <f>+C32</f>
        <v>137000000</v>
      </c>
      <c r="D33" s="77">
        <f>A33-$A$33</f>
        <v>0</v>
      </c>
      <c r="E33" s="78">
        <f>+$E$32+F33</f>
        <v>-187304.69</v>
      </c>
      <c r="F33" s="79">
        <f>ROUND(-$E$32*D33/$D$76,2)</f>
        <v>0</v>
      </c>
      <c r="G33" s="78">
        <f>+$G$32+H33</f>
        <v>0</v>
      </c>
      <c r="H33" s="79">
        <f>ROUND(-$G$32*D33/$D$76,2)</f>
        <v>0</v>
      </c>
      <c r="I33" s="79">
        <f t="shared" ref="I33:I39" si="1">+$I$32+H33+F33</f>
        <v>136812695.31</v>
      </c>
      <c r="J33" s="79">
        <f>+J32</f>
        <v>1559226.5193370166</v>
      </c>
      <c r="K33" s="79">
        <f>I33-G33-E33</f>
        <v>137000000</v>
      </c>
      <c r="L33" s="80">
        <f>+L32</f>
        <v>99.86328125</v>
      </c>
      <c r="M33" s="78">
        <f>ROUND(K33*(L33-$L$32)/100,2)</f>
        <v>0</v>
      </c>
      <c r="N33" s="78">
        <f>M33-F33</f>
        <v>0</v>
      </c>
      <c r="O33" s="78">
        <f t="shared" si="0"/>
        <v>136812695.31</v>
      </c>
      <c r="P33" s="51">
        <f>+$I$32+H33+N33-O33+F33</f>
        <v>0</v>
      </c>
      <c r="V33" s="81"/>
      <c r="W33" s="82"/>
      <c r="X33" s="82"/>
      <c r="Y33" s="82"/>
    </row>
    <row r="34" spans="1:26" x14ac:dyDescent="0.25">
      <c r="A34" s="83">
        <v>46173</v>
      </c>
      <c r="B34" s="84"/>
      <c r="C34" s="85">
        <f t="shared" ref="C34:C76" si="2">A34-$A$33</f>
        <v>17</v>
      </c>
      <c r="D34" s="86"/>
      <c r="E34" s="78">
        <f t="shared" ref="E34:E39" si="3">+$B$13+F34</f>
        <v>-184592.44150766611</v>
      </c>
      <c r="F34" s="79">
        <f t="shared" ref="F34:F41" si="4">-(($E$32/$C$76*C34))</f>
        <v>2712.2484923339011</v>
      </c>
      <c r="G34" s="78"/>
      <c r="H34" s="79"/>
      <c r="I34" s="79">
        <f t="shared" si="1"/>
        <v>136815407.55849233</v>
      </c>
      <c r="J34" s="79">
        <f>((A34-B10)/(A36-B10))*$H$18</f>
        <v>1894806.629834254</v>
      </c>
      <c r="K34" s="79">
        <f>I34-G34-E34</f>
        <v>137000000</v>
      </c>
      <c r="L34" s="80">
        <f>+L33</f>
        <v>99.86328125</v>
      </c>
      <c r="M34" s="50">
        <f t="shared" ref="M34:M39" si="5">($K$32*(L34-$L$32)/100)</f>
        <v>0</v>
      </c>
      <c r="N34" s="50">
        <f>M34-H34-F34</f>
        <v>-2712.2484923339011</v>
      </c>
      <c r="O34" s="50">
        <f t="shared" si="0"/>
        <v>136812695.31</v>
      </c>
      <c r="P34" s="51">
        <f t="shared" ref="P34:P41" si="6">+$I$32+H34+N34-O34+F34</f>
        <v>3.5884113458450884E-9</v>
      </c>
      <c r="R34" s="51"/>
      <c r="V34" s="81">
        <v>6.8199999999999999E-4</v>
      </c>
      <c r="W34" s="5">
        <v>0.6</v>
      </c>
      <c r="X34" s="82">
        <f>ROUND((K34+B34)*V34*W34,2)</f>
        <v>56060.4</v>
      </c>
      <c r="Y34" s="82">
        <f>+X34-X33</f>
        <v>56060.4</v>
      </c>
    </row>
    <row r="35" spans="1:26" x14ac:dyDescent="0.25">
      <c r="A35" s="83">
        <v>46203</v>
      </c>
      <c r="C35" s="85">
        <f t="shared" si="2"/>
        <v>47</v>
      </c>
      <c r="D35" s="86"/>
      <c r="E35" s="78">
        <f t="shared" si="3"/>
        <v>-179806.12063884156</v>
      </c>
      <c r="F35" s="79">
        <f t="shared" si="4"/>
        <v>7498.5693611584329</v>
      </c>
      <c r="G35" s="78"/>
      <c r="H35" s="79"/>
      <c r="I35" s="79">
        <f t="shared" si="1"/>
        <v>136820193.87936115</v>
      </c>
      <c r="J35" s="79">
        <f>((A35-B10)/(A36-B10))*$H$19</f>
        <v>2270718.232044199</v>
      </c>
      <c r="K35" s="79">
        <f t="shared" ref="K35:K75" si="7">I35-G35-E35</f>
        <v>137000000</v>
      </c>
      <c r="L35" s="87">
        <v>97.132788000000005</v>
      </c>
      <c r="M35" s="50">
        <f t="shared" si="5"/>
        <v>-3740775.752499993</v>
      </c>
      <c r="N35" s="50">
        <f>M35-H35-F35</f>
        <v>-3748274.3218611516</v>
      </c>
      <c r="O35" s="50">
        <f t="shared" si="0"/>
        <v>133071919.56</v>
      </c>
      <c r="P35" s="51">
        <f t="shared" si="6"/>
        <v>-2.4999894476422924E-3</v>
      </c>
      <c r="Q35" s="88"/>
      <c r="R35" s="89"/>
      <c r="V35" s="81">
        <v>6.8199999999999999E-4</v>
      </c>
      <c r="W35" s="5">
        <v>0.6</v>
      </c>
      <c r="X35" s="82">
        <f>ROUND((K35+B35)*V35*W35,2)</f>
        <v>56060.4</v>
      </c>
      <c r="Y35" s="82">
        <f>+X35-X34</f>
        <v>0</v>
      </c>
      <c r="Z35" s="82"/>
    </row>
    <row r="36" spans="1:26" x14ac:dyDescent="0.25">
      <c r="A36" s="90">
        <v>46234</v>
      </c>
      <c r="C36" s="85">
        <f t="shared" si="2"/>
        <v>78</v>
      </c>
      <c r="D36" s="86"/>
      <c r="E36" s="78">
        <f t="shared" si="3"/>
        <v>-174860.25574105623</v>
      </c>
      <c r="F36" s="79">
        <f t="shared" si="4"/>
        <v>12444.434258943782</v>
      </c>
      <c r="G36" s="78"/>
      <c r="H36" s="79"/>
      <c r="I36" s="79">
        <f t="shared" si="1"/>
        <v>136825139.74425894</v>
      </c>
      <c r="J36" s="79">
        <f>((A36-B10)/(A36-B10))*$H$19</f>
        <v>2740000</v>
      </c>
      <c r="K36" s="79">
        <f t="shared" si="7"/>
        <v>137000000</v>
      </c>
      <c r="L36" s="87">
        <v>97.132788000000005</v>
      </c>
      <c r="M36" s="50">
        <f t="shared" si="5"/>
        <v>-3740775.752499993</v>
      </c>
      <c r="N36" s="50">
        <f>M36-H36-F36</f>
        <v>-3753220.1867589368</v>
      </c>
      <c r="O36" s="50">
        <f t="shared" si="0"/>
        <v>133071919.56</v>
      </c>
      <c r="P36" s="51">
        <f t="shared" si="6"/>
        <v>-2.4999916695378488E-3</v>
      </c>
      <c r="Q36" s="88"/>
      <c r="R36" s="89"/>
      <c r="V36" s="81">
        <v>6.8199999999999999E-4</v>
      </c>
      <c r="W36" s="5">
        <v>0.6</v>
      </c>
      <c r="X36" s="82">
        <f>ROUND((K36+Q36)*V36*W36,2)</f>
        <v>56060.4</v>
      </c>
      <c r="Y36" s="82">
        <f t="shared" ref="Y36:Y75" si="8">+X36-X35</f>
        <v>0</v>
      </c>
    </row>
    <row r="37" spans="1:26" x14ac:dyDescent="0.25">
      <c r="A37" s="83">
        <v>46265</v>
      </c>
      <c r="C37" s="85">
        <f t="shared" si="2"/>
        <v>109</v>
      </c>
      <c r="D37" s="86"/>
      <c r="E37" s="78">
        <f t="shared" si="3"/>
        <v>-169914.39084327087</v>
      </c>
      <c r="F37" s="79">
        <f t="shared" si="4"/>
        <v>17390.299156729132</v>
      </c>
      <c r="G37" s="78"/>
      <c r="H37" s="79"/>
      <c r="I37" s="79">
        <f t="shared" si="1"/>
        <v>136830085.60915673</v>
      </c>
      <c r="J37" s="79">
        <f>((A37-A36)/(A43-A36))*$H$19</f>
        <v>461630.4347826087</v>
      </c>
      <c r="K37" s="79">
        <f t="shared" si="7"/>
        <v>137000000</v>
      </c>
      <c r="L37" s="87">
        <v>97.132788000000005</v>
      </c>
      <c r="M37" s="50">
        <f t="shared" si="5"/>
        <v>-3740775.752499993</v>
      </c>
      <c r="N37" s="50">
        <f>M37-H37-F37</f>
        <v>-3758166.0516567221</v>
      </c>
      <c r="O37" s="50">
        <f t="shared" si="0"/>
        <v>133071919.56</v>
      </c>
      <c r="P37" s="51">
        <f t="shared" si="6"/>
        <v>-2.4999938905239105E-3</v>
      </c>
      <c r="Q37" s="88"/>
      <c r="R37" s="89"/>
      <c r="V37" s="81">
        <v>6.8199999999999999E-4</v>
      </c>
      <c r="W37" s="5">
        <v>0.6</v>
      </c>
      <c r="X37" s="82">
        <f t="shared" ref="X37:X48" si="9">ROUND((K37+Q37)*V37*W37,2)</f>
        <v>56060.4</v>
      </c>
      <c r="Y37" s="82">
        <f t="shared" si="8"/>
        <v>0</v>
      </c>
    </row>
    <row r="38" spans="1:26" x14ac:dyDescent="0.25">
      <c r="A38" s="83">
        <v>46295</v>
      </c>
      <c r="C38" s="85">
        <f t="shared" si="2"/>
        <v>139</v>
      </c>
      <c r="D38" s="86"/>
      <c r="E38" s="78">
        <f t="shared" si="3"/>
        <v>-165128.06997444635</v>
      </c>
      <c r="F38" s="79">
        <f t="shared" si="4"/>
        <v>22176.620025553661</v>
      </c>
      <c r="G38" s="78"/>
      <c r="H38" s="79"/>
      <c r="I38" s="79">
        <f t="shared" si="1"/>
        <v>136834871.93002555</v>
      </c>
      <c r="J38" s="79">
        <f>((A38-A36)/(A43-A36))*$H$19</f>
        <v>908369.56521739124</v>
      </c>
      <c r="K38" s="79">
        <f t="shared" si="7"/>
        <v>137000000</v>
      </c>
      <c r="L38" s="87">
        <v>97.132788000000005</v>
      </c>
      <c r="M38" s="50">
        <f t="shared" si="5"/>
        <v>-3740775.752499993</v>
      </c>
      <c r="N38" s="50">
        <f>M38-H38-F38</f>
        <v>-3762952.3725255467</v>
      </c>
      <c r="O38" s="50">
        <f t="shared" si="0"/>
        <v>133071919.56</v>
      </c>
      <c r="P38" s="51">
        <f>+$I$32+H38+N38-O38+F38</f>
        <v>-2.4999893139465712E-3</v>
      </c>
      <c r="Q38" s="88"/>
      <c r="R38" s="89"/>
      <c r="V38" s="81">
        <v>6.8199999999999999E-4</v>
      </c>
      <c r="W38" s="5">
        <v>0.6</v>
      </c>
      <c r="X38" s="82">
        <f t="shared" si="9"/>
        <v>56060.4</v>
      </c>
      <c r="Y38" s="82">
        <f t="shared" si="8"/>
        <v>0</v>
      </c>
    </row>
    <row r="39" spans="1:26" x14ac:dyDescent="0.25">
      <c r="A39" s="83">
        <v>46326</v>
      </c>
      <c r="C39" s="85">
        <f t="shared" si="2"/>
        <v>170</v>
      </c>
      <c r="D39" s="86"/>
      <c r="E39" s="78">
        <f t="shared" si="3"/>
        <v>-160182.20507666099</v>
      </c>
      <c r="F39" s="79">
        <f t="shared" si="4"/>
        <v>27122.484923339012</v>
      </c>
      <c r="G39" s="78"/>
      <c r="H39" s="79"/>
      <c r="I39" s="79">
        <f t="shared" si="1"/>
        <v>136839817.79492334</v>
      </c>
      <c r="J39" s="79">
        <f>((A39-A36)/(A43-A36))*$H$19</f>
        <v>1370000</v>
      </c>
      <c r="K39" s="79">
        <f t="shared" si="7"/>
        <v>137000000</v>
      </c>
      <c r="L39" s="87">
        <v>97.132788000000005</v>
      </c>
      <c r="M39" s="50">
        <f t="shared" si="5"/>
        <v>-3740775.752499993</v>
      </c>
      <c r="N39" s="50">
        <f t="shared" ref="N39:N77" si="10">M39-H39-F39</f>
        <v>-3767898.2374233319</v>
      </c>
      <c r="O39" s="50">
        <f t="shared" si="0"/>
        <v>133071919.56</v>
      </c>
      <c r="P39" s="51">
        <f t="shared" si="6"/>
        <v>-2.4999915331136435E-3</v>
      </c>
      <c r="Q39" s="88"/>
      <c r="R39" s="89"/>
      <c r="V39" s="81">
        <v>6.8199999999999999E-4</v>
      </c>
      <c r="W39" s="5">
        <v>0.6</v>
      </c>
      <c r="X39" s="82">
        <f t="shared" si="9"/>
        <v>56060.4</v>
      </c>
      <c r="Y39" s="82">
        <f t="shared" si="8"/>
        <v>0</v>
      </c>
    </row>
    <row r="40" spans="1:26" x14ac:dyDescent="0.25">
      <c r="A40" s="91" t="s">
        <v>48</v>
      </c>
      <c r="B40" s="92"/>
      <c r="C40" s="93"/>
      <c r="D40" s="94"/>
      <c r="E40" s="95">
        <f>B28</f>
        <v>-21203.119999999999</v>
      </c>
      <c r="F40" s="96">
        <f t="shared" si="4"/>
        <v>0</v>
      </c>
      <c r="G40" s="95"/>
      <c r="H40" s="96"/>
      <c r="I40" s="97">
        <f>B18*B19/100</f>
        <v>5878796.875</v>
      </c>
      <c r="J40" s="96"/>
      <c r="K40" s="96">
        <f t="shared" si="7"/>
        <v>5899999.9950000001</v>
      </c>
      <c r="L40" s="98">
        <v>99.640625</v>
      </c>
      <c r="M40" s="95"/>
      <c r="N40" s="95"/>
      <c r="O40" s="95"/>
      <c r="P40" s="51"/>
      <c r="Q40" s="88"/>
      <c r="R40" s="89"/>
      <c r="V40" s="81"/>
      <c r="X40" s="82"/>
      <c r="Y40" s="82"/>
    </row>
    <row r="41" spans="1:26" x14ac:dyDescent="0.25">
      <c r="A41" s="83">
        <v>46356</v>
      </c>
      <c r="C41" s="85">
        <f t="shared" si="2"/>
        <v>200</v>
      </c>
      <c r="D41" s="86">
        <f>A41-$A$41</f>
        <v>0</v>
      </c>
      <c r="E41" s="78">
        <f>+$B$13+F41</f>
        <v>-155395.88420783647</v>
      </c>
      <c r="F41" s="79">
        <f t="shared" si="4"/>
        <v>31908.805792163541</v>
      </c>
      <c r="G41" s="78"/>
      <c r="H41" s="79"/>
      <c r="I41" s="79">
        <f>+$I$32+H41+F41</f>
        <v>136844604.11579216</v>
      </c>
      <c r="J41" s="79">
        <f>((A41-A36)/(A43-A36))*$H$18</f>
        <v>1894978.260869565</v>
      </c>
      <c r="K41" s="79">
        <f t="shared" si="7"/>
        <v>137000000</v>
      </c>
      <c r="L41" s="87">
        <v>99.640625</v>
      </c>
      <c r="M41" s="50">
        <f>($K$32*(L41-$L$32)/100)</f>
        <v>-305039.0625</v>
      </c>
      <c r="N41" s="50">
        <f t="shared" si="10"/>
        <v>-336947.86829216353</v>
      </c>
      <c r="O41" s="50">
        <f t="shared" si="0"/>
        <v>136507656.25</v>
      </c>
      <c r="P41" s="51">
        <f t="shared" si="6"/>
        <v>-2.4999869565363042E-3</v>
      </c>
      <c r="Q41" s="88"/>
      <c r="R41" s="89"/>
      <c r="V41" s="81">
        <v>6.8199999999999999E-4</v>
      </c>
      <c r="W41" s="5">
        <v>0.6</v>
      </c>
      <c r="X41" s="82">
        <f t="shared" si="9"/>
        <v>56060.4</v>
      </c>
      <c r="Y41" s="82">
        <f>+X41-X39</f>
        <v>0</v>
      </c>
    </row>
    <row r="42" spans="1:26" x14ac:dyDescent="0.25">
      <c r="A42" s="83">
        <v>46387</v>
      </c>
      <c r="C42" s="85">
        <f t="shared" si="2"/>
        <v>231</v>
      </c>
      <c r="D42" s="86">
        <f t="shared" ref="D42:D76" si="11">A42-$A$41</f>
        <v>31</v>
      </c>
      <c r="E42" s="78">
        <f>+$F$18+F42</f>
        <v>-170978.29668171436</v>
      </c>
      <c r="F42" s="79">
        <f t="shared" ref="F42:F52" si="12">-(($E$32/$C$76*C42)+($E$40/$D$76*D42))</f>
        <v>37529.513318285652</v>
      </c>
      <c r="G42" s="78"/>
      <c r="H42" s="79"/>
      <c r="I42" s="79">
        <f>+$I$32+$I$40+H42+F42</f>
        <v>142729021.6983183</v>
      </c>
      <c r="J42" s="79">
        <f>((A42-A36)/(A43-A36))*$H$18</f>
        <v>2376489.1304347827</v>
      </c>
      <c r="K42" s="79">
        <f t="shared" si="7"/>
        <v>142899999.995</v>
      </c>
      <c r="L42" s="87">
        <v>97.132788000000005</v>
      </c>
      <c r="M42" s="50">
        <f>($K$32*(L42-$L$32)/100)+($K$40*(L42-$L$40)/100)</f>
        <v>-3888738.135374601</v>
      </c>
      <c r="N42" s="50">
        <f t="shared" si="10"/>
        <v>-3926267.6486928868</v>
      </c>
      <c r="O42" s="50">
        <f t="shared" si="0"/>
        <v>138802754.05000001</v>
      </c>
      <c r="P42" s="51">
        <f>+$I$32+$I$40+H42+N42-O42+F42</f>
        <v>-3.7459998566191643E-4</v>
      </c>
      <c r="Q42" s="88"/>
      <c r="R42" s="89"/>
      <c r="V42" s="81">
        <v>6.8199999999999999E-4</v>
      </c>
      <c r="W42" s="5">
        <v>0.6</v>
      </c>
      <c r="X42" s="82">
        <f t="shared" si="9"/>
        <v>58474.68</v>
      </c>
      <c r="Y42" s="82">
        <f t="shared" si="8"/>
        <v>2414.2799999999988</v>
      </c>
    </row>
    <row r="43" spans="1:26" x14ac:dyDescent="0.25">
      <c r="A43" s="90">
        <v>46418</v>
      </c>
      <c r="C43" s="85">
        <f t="shared" si="2"/>
        <v>262</v>
      </c>
      <c r="D43" s="86">
        <f t="shared" si="11"/>
        <v>62</v>
      </c>
      <c r="E43" s="78">
        <f t="shared" ref="E43:E54" si="13">+$F$18+F43</f>
        <v>-165357.58915559226</v>
      </c>
      <c r="F43" s="79">
        <f t="shared" si="12"/>
        <v>43150.220844407748</v>
      </c>
      <c r="G43" s="78"/>
      <c r="H43" s="79"/>
      <c r="I43" s="79">
        <f t="shared" ref="I43:I54" si="14">+$I$32+$I$40+H43+F43</f>
        <v>142734642.40584442</v>
      </c>
      <c r="J43" s="79">
        <f>((A43-A36)/(A43-A36))*$H$18</f>
        <v>2858000</v>
      </c>
      <c r="K43" s="79">
        <f t="shared" si="7"/>
        <v>142899999.995</v>
      </c>
      <c r="L43" s="87">
        <v>97.132788000000005</v>
      </c>
      <c r="M43" s="50">
        <f t="shared" ref="M43:M54" si="15">($K$32*(L43-$L$32)/100)+($K$40*(L43-$L$40)/100)</f>
        <v>-3888738.135374601</v>
      </c>
      <c r="N43" s="50">
        <f t="shared" si="10"/>
        <v>-3931888.3562190086</v>
      </c>
      <c r="O43" s="50">
        <f t="shared" si="0"/>
        <v>138802754.05000001</v>
      </c>
      <c r="P43" s="51">
        <f t="shared" ref="P43:P54" si="16">+$I$32+$I$40+H43+N43-O43+F43</f>
        <v>-3.745954527403228E-4</v>
      </c>
      <c r="Q43" s="88"/>
      <c r="R43" s="89"/>
      <c r="V43" s="81">
        <v>6.8199999999999999E-4</v>
      </c>
      <c r="W43" s="5">
        <v>0.6</v>
      </c>
      <c r="X43" s="82">
        <f t="shared" si="9"/>
        <v>58474.68</v>
      </c>
      <c r="Y43" s="82">
        <f t="shared" si="8"/>
        <v>0</v>
      </c>
    </row>
    <row r="44" spans="1:26" x14ac:dyDescent="0.25">
      <c r="A44" s="83">
        <v>46446</v>
      </c>
      <c r="C44" s="85">
        <f t="shared" si="2"/>
        <v>290</v>
      </c>
      <c r="D44" s="86">
        <f t="shared" si="11"/>
        <v>90</v>
      </c>
      <c r="E44" s="78">
        <f t="shared" si="13"/>
        <v>-160280.82106748197</v>
      </c>
      <c r="F44" s="79">
        <f t="shared" si="12"/>
        <v>48226.988932518034</v>
      </c>
      <c r="G44" s="78"/>
      <c r="H44" s="79"/>
      <c r="I44" s="79">
        <f t="shared" si="14"/>
        <v>142739719.17393252</v>
      </c>
      <c r="J44" s="79">
        <f>((A44-A43)/(A49-A43))*$H$18</f>
        <v>442121.54696132598</v>
      </c>
      <c r="K44" s="79">
        <f t="shared" si="7"/>
        <v>142899999.995</v>
      </c>
      <c r="L44" s="87">
        <v>97.132788000000005</v>
      </c>
      <c r="M44" s="50">
        <f t="shared" si="15"/>
        <v>-3888738.135374601</v>
      </c>
      <c r="N44" s="50">
        <f t="shared" si="10"/>
        <v>-3936965.1243071188</v>
      </c>
      <c r="O44" s="50">
        <f t="shared" si="0"/>
        <v>138802754.05000001</v>
      </c>
      <c r="P44" s="51">
        <f t="shared" si="16"/>
        <v>-3.7461730971699581E-4</v>
      </c>
      <c r="Q44" s="88"/>
      <c r="R44" s="89"/>
      <c r="V44" s="81">
        <v>6.8199999999999999E-4</v>
      </c>
      <c r="W44" s="5">
        <v>0.6</v>
      </c>
      <c r="X44" s="82">
        <f t="shared" si="9"/>
        <v>58474.68</v>
      </c>
      <c r="Y44" s="82">
        <f t="shared" si="8"/>
        <v>0</v>
      </c>
    </row>
    <row r="45" spans="1:26" x14ac:dyDescent="0.25">
      <c r="A45" s="83">
        <v>46477</v>
      </c>
      <c r="C45" s="85">
        <f t="shared" si="2"/>
        <v>321</v>
      </c>
      <c r="D45" s="86">
        <f t="shared" si="11"/>
        <v>121</v>
      </c>
      <c r="E45" s="78">
        <f t="shared" si="13"/>
        <v>-154660.11354135984</v>
      </c>
      <c r="F45" s="79">
        <f t="shared" si="12"/>
        <v>53847.696458640145</v>
      </c>
      <c r="G45" s="78"/>
      <c r="H45" s="79"/>
      <c r="I45" s="79">
        <f t="shared" si="14"/>
        <v>142745339.88145864</v>
      </c>
      <c r="J45" s="79">
        <f>((A45-A43)/(A49-A43))*$H$18</f>
        <v>931613.25966850831</v>
      </c>
      <c r="K45" s="79">
        <f t="shared" si="7"/>
        <v>142899999.995</v>
      </c>
      <c r="L45" s="87">
        <v>97.132788000000005</v>
      </c>
      <c r="M45" s="50">
        <f t="shared" si="15"/>
        <v>-3888738.135374601</v>
      </c>
      <c r="N45" s="50">
        <f t="shared" si="10"/>
        <v>-3942585.831833241</v>
      </c>
      <c r="O45" s="50">
        <f t="shared" si="0"/>
        <v>138802754.05000001</v>
      </c>
      <c r="P45" s="51">
        <f t="shared" si="16"/>
        <v>-3.7461276224348694E-4</v>
      </c>
      <c r="Q45" s="88"/>
      <c r="R45" s="89"/>
      <c r="T45" s="99"/>
      <c r="V45" s="81">
        <v>6.8199999999999999E-4</v>
      </c>
      <c r="W45" s="5">
        <v>0.6</v>
      </c>
      <c r="X45" s="82">
        <f t="shared" si="9"/>
        <v>58474.68</v>
      </c>
      <c r="Y45" s="82">
        <f t="shared" si="8"/>
        <v>0</v>
      </c>
    </row>
    <row r="46" spans="1:26" x14ac:dyDescent="0.25">
      <c r="A46" s="83">
        <v>46507</v>
      </c>
      <c r="C46" s="85">
        <f t="shared" si="2"/>
        <v>351</v>
      </c>
      <c r="D46" s="86">
        <f t="shared" si="11"/>
        <v>151</v>
      </c>
      <c r="E46" s="78">
        <f t="shared" si="13"/>
        <v>-149220.71916124169</v>
      </c>
      <c r="F46" s="79">
        <f t="shared" si="12"/>
        <v>59287.090838758304</v>
      </c>
      <c r="G46" s="78"/>
      <c r="H46" s="79"/>
      <c r="I46" s="79">
        <f t="shared" si="14"/>
        <v>142750779.27583876</v>
      </c>
      <c r="J46" s="79">
        <f>((A46-A43)/(A49-A43))*$H$18</f>
        <v>1405314.9171270719</v>
      </c>
      <c r="K46" s="79">
        <f t="shared" si="7"/>
        <v>142899999.995</v>
      </c>
      <c r="L46" s="87">
        <v>97.132788000000005</v>
      </c>
      <c r="M46" s="50">
        <f t="shared" si="15"/>
        <v>-3888738.135374601</v>
      </c>
      <c r="N46" s="50">
        <f t="shared" si="10"/>
        <v>-3948025.2262133593</v>
      </c>
      <c r="O46" s="50">
        <f t="shared" si="0"/>
        <v>138802754.05000001</v>
      </c>
      <c r="P46" s="51">
        <f t="shared" si="16"/>
        <v>-3.7461702595464885E-4</v>
      </c>
      <c r="Q46" s="88"/>
      <c r="R46" s="89"/>
      <c r="T46" s="99"/>
      <c r="V46" s="81">
        <v>6.8199999999999999E-4</v>
      </c>
      <c r="W46" s="5">
        <v>0.6</v>
      </c>
      <c r="X46" s="82">
        <f t="shared" si="9"/>
        <v>58474.68</v>
      </c>
      <c r="Y46" s="82">
        <f t="shared" si="8"/>
        <v>0</v>
      </c>
    </row>
    <row r="47" spans="1:26" x14ac:dyDescent="0.25">
      <c r="A47" s="83">
        <v>46538</v>
      </c>
      <c r="C47" s="85">
        <f t="shared" si="2"/>
        <v>382</v>
      </c>
      <c r="D47" s="86">
        <f t="shared" si="11"/>
        <v>182</v>
      </c>
      <c r="E47" s="78">
        <f t="shared" si="13"/>
        <v>-143600.01163511959</v>
      </c>
      <c r="F47" s="79">
        <f t="shared" si="12"/>
        <v>64907.798364880415</v>
      </c>
      <c r="G47" s="78"/>
      <c r="H47" s="79"/>
      <c r="I47" s="79">
        <f t="shared" si="14"/>
        <v>142756399.98336488</v>
      </c>
      <c r="J47" s="79">
        <f>((A47-A43)/(A49-A43))*$H$18</f>
        <v>1894806.629834254</v>
      </c>
      <c r="K47" s="79">
        <f t="shared" si="7"/>
        <v>142899999.995</v>
      </c>
      <c r="L47" s="87">
        <v>97.132788000000005</v>
      </c>
      <c r="M47" s="50">
        <f t="shared" si="15"/>
        <v>-3888738.135374601</v>
      </c>
      <c r="N47" s="50">
        <f t="shared" si="10"/>
        <v>-3953645.9337394815</v>
      </c>
      <c r="O47" s="50">
        <f t="shared" si="0"/>
        <v>138802754.05000001</v>
      </c>
      <c r="P47" s="51">
        <f t="shared" si="16"/>
        <v>-3.7461247848113999E-4</v>
      </c>
      <c r="Q47" s="88"/>
      <c r="R47" s="89"/>
      <c r="V47" s="81">
        <v>6.8199999999999999E-4</v>
      </c>
      <c r="W47" s="5">
        <v>0.6</v>
      </c>
      <c r="X47" s="82">
        <f t="shared" si="9"/>
        <v>58474.68</v>
      </c>
      <c r="Y47" s="82">
        <f t="shared" si="8"/>
        <v>0</v>
      </c>
    </row>
    <row r="48" spans="1:26" x14ac:dyDescent="0.25">
      <c r="A48" s="83">
        <v>46568</v>
      </c>
      <c r="B48" s="63"/>
      <c r="C48" s="85">
        <f t="shared" si="2"/>
        <v>412</v>
      </c>
      <c r="D48" s="86">
        <f t="shared" si="11"/>
        <v>212</v>
      </c>
      <c r="E48" s="78">
        <f t="shared" si="13"/>
        <v>-138160.61725500142</v>
      </c>
      <c r="F48" s="79">
        <f t="shared" si="12"/>
        <v>70347.192744998581</v>
      </c>
      <c r="G48" s="78"/>
      <c r="H48" s="79"/>
      <c r="I48" s="79">
        <f t="shared" si="14"/>
        <v>142761839.377745</v>
      </c>
      <c r="J48" s="79">
        <f>((A48-A43)/(A49-A43))*$H$18</f>
        <v>2368508.2872928176</v>
      </c>
      <c r="K48" s="79">
        <f t="shared" si="7"/>
        <v>142899999.995</v>
      </c>
      <c r="L48" s="87">
        <v>97.132788000000005</v>
      </c>
      <c r="M48" s="50">
        <f t="shared" si="15"/>
        <v>-3888738.135374601</v>
      </c>
      <c r="N48" s="50">
        <f t="shared" si="10"/>
        <v>-3959085.3281195997</v>
      </c>
      <c r="O48" s="50">
        <f t="shared" si="0"/>
        <v>138802754.05000001</v>
      </c>
      <c r="P48" s="51">
        <f t="shared" si="16"/>
        <v>-3.7461673491634429E-4</v>
      </c>
      <c r="Q48" s="88"/>
      <c r="R48" s="89"/>
      <c r="V48" s="81">
        <v>6.8199999999999999E-4</v>
      </c>
      <c r="W48" s="5">
        <v>0.6</v>
      </c>
      <c r="X48" s="82">
        <f t="shared" si="9"/>
        <v>58474.68</v>
      </c>
      <c r="Y48" s="82">
        <f t="shared" si="8"/>
        <v>0</v>
      </c>
    </row>
    <row r="49" spans="1:32" x14ac:dyDescent="0.25">
      <c r="A49" s="90">
        <v>46599</v>
      </c>
      <c r="B49" s="63"/>
      <c r="C49" s="85">
        <f t="shared" si="2"/>
        <v>443</v>
      </c>
      <c r="D49" s="86">
        <f t="shared" si="11"/>
        <v>243</v>
      </c>
      <c r="E49" s="78">
        <f t="shared" si="13"/>
        <v>-132539.90972887931</v>
      </c>
      <c r="F49" s="79">
        <f t="shared" si="12"/>
        <v>75967.900271120685</v>
      </c>
      <c r="G49" s="78"/>
      <c r="H49" s="79"/>
      <c r="I49" s="79">
        <f t="shared" si="14"/>
        <v>142767460.08527112</v>
      </c>
      <c r="J49" s="79">
        <f>((A49-A43)/(A49-A43))*$H$18</f>
        <v>2858000</v>
      </c>
      <c r="K49" s="79">
        <f t="shared" si="7"/>
        <v>142899999.995</v>
      </c>
      <c r="L49" s="87">
        <v>97.132788000000005</v>
      </c>
      <c r="M49" s="50">
        <f t="shared" si="15"/>
        <v>-3888738.135374601</v>
      </c>
      <c r="N49" s="50">
        <f t="shared" si="10"/>
        <v>-3964706.0356457215</v>
      </c>
      <c r="O49" s="50">
        <f t="shared" si="0"/>
        <v>138802754.05000001</v>
      </c>
      <c r="P49" s="51">
        <f t="shared" si="16"/>
        <v>-3.7461219471879303E-4</v>
      </c>
      <c r="Q49" s="88"/>
      <c r="R49" s="89"/>
      <c r="V49" s="81">
        <v>6.8199999999999999E-4</v>
      </c>
      <c r="W49" s="5">
        <v>0.6</v>
      </c>
      <c r="X49" s="82">
        <f>ROUND((K49+B49)*V49*W49,2)</f>
        <v>58474.68</v>
      </c>
      <c r="Y49" s="82">
        <f>+X49-X48</f>
        <v>0</v>
      </c>
    </row>
    <row r="50" spans="1:32" x14ac:dyDescent="0.25">
      <c r="A50" s="83">
        <v>46630</v>
      </c>
      <c r="B50" s="63"/>
      <c r="C50" s="85">
        <f t="shared" si="2"/>
        <v>474</v>
      </c>
      <c r="D50" s="86">
        <f t="shared" si="11"/>
        <v>274</v>
      </c>
      <c r="E50" s="78">
        <f t="shared" si="13"/>
        <v>-126919.20220275721</v>
      </c>
      <c r="F50" s="79">
        <f t="shared" si="12"/>
        <v>81588.607797242788</v>
      </c>
      <c r="G50" s="78"/>
      <c r="H50" s="79"/>
      <c r="I50" s="79">
        <f t="shared" si="14"/>
        <v>142773080.79279724</v>
      </c>
      <c r="J50" s="79">
        <f>((A50-A49)/(A56-A49))*$H$18</f>
        <v>481510.86956521741</v>
      </c>
      <c r="K50" s="79">
        <f t="shared" si="7"/>
        <v>142899999.995</v>
      </c>
      <c r="L50" s="87">
        <v>97.132788000000005</v>
      </c>
      <c r="M50" s="50">
        <f t="shared" si="15"/>
        <v>-3888738.135374601</v>
      </c>
      <c r="N50" s="50">
        <f t="shared" si="10"/>
        <v>-3970326.7431718437</v>
      </c>
      <c r="O50" s="50">
        <f t="shared" si="0"/>
        <v>138802754.05000001</v>
      </c>
      <c r="P50" s="51">
        <f t="shared" si="16"/>
        <v>-3.7460765452124178E-4</v>
      </c>
      <c r="Q50" s="88"/>
      <c r="R50" s="89"/>
      <c r="V50" s="81">
        <v>6.8199999999999999E-4</v>
      </c>
      <c r="W50" s="5">
        <v>0.6</v>
      </c>
      <c r="X50" s="82">
        <f>ROUND((K50+Q50)*V50*W50,2)</f>
        <v>58474.68</v>
      </c>
      <c r="Y50" s="82">
        <f t="shared" si="8"/>
        <v>0</v>
      </c>
    </row>
    <row r="51" spans="1:32" x14ac:dyDescent="0.25">
      <c r="A51" s="83">
        <v>46660</v>
      </c>
      <c r="B51" s="63"/>
      <c r="C51" s="85">
        <f t="shared" si="2"/>
        <v>504</v>
      </c>
      <c r="D51" s="86">
        <f t="shared" si="11"/>
        <v>304</v>
      </c>
      <c r="E51" s="78">
        <f t="shared" si="13"/>
        <v>-121479.80782263904</v>
      </c>
      <c r="F51" s="79">
        <f t="shared" si="12"/>
        <v>87028.002177360962</v>
      </c>
      <c r="G51" s="78"/>
      <c r="H51" s="79"/>
      <c r="I51" s="79">
        <f t="shared" si="14"/>
        <v>142778520.18717736</v>
      </c>
      <c r="J51" s="79">
        <f>((A51-A49)/(A56-A49))*$H$18</f>
        <v>947489.13043478248</v>
      </c>
      <c r="K51" s="79">
        <f t="shared" si="7"/>
        <v>142899999.995</v>
      </c>
      <c r="L51" s="87">
        <v>97.132788000000005</v>
      </c>
      <c r="M51" s="50">
        <f t="shared" si="15"/>
        <v>-3888738.135374601</v>
      </c>
      <c r="N51" s="50">
        <f t="shared" si="10"/>
        <v>-3975766.1375519619</v>
      </c>
      <c r="O51" s="50">
        <f t="shared" si="0"/>
        <v>138802754.05000001</v>
      </c>
      <c r="P51" s="51">
        <f t="shared" si="16"/>
        <v>-3.7461190368048847E-4</v>
      </c>
      <c r="Q51" s="88"/>
      <c r="R51" s="89"/>
      <c r="V51" s="81">
        <v>6.8199999999999999E-4</v>
      </c>
      <c r="W51" s="5">
        <v>0.6</v>
      </c>
      <c r="X51" s="82">
        <f t="shared" ref="X51:X75" si="17">ROUND((K51+Q51)*V51*W51,2)</f>
        <v>58474.68</v>
      </c>
      <c r="Y51" s="82">
        <f t="shared" si="8"/>
        <v>0</v>
      </c>
    </row>
    <row r="52" spans="1:32" x14ac:dyDescent="0.25">
      <c r="A52" s="83">
        <v>46691</v>
      </c>
      <c r="B52" s="63"/>
      <c r="C52" s="85">
        <f t="shared" si="2"/>
        <v>535</v>
      </c>
      <c r="D52" s="86">
        <f t="shared" si="11"/>
        <v>335</v>
      </c>
      <c r="E52" s="78">
        <f t="shared" si="13"/>
        <v>-115859.10029651695</v>
      </c>
      <c r="F52" s="79">
        <f t="shared" si="12"/>
        <v>92648.709703483051</v>
      </c>
      <c r="G52" s="78"/>
      <c r="H52" s="79"/>
      <c r="I52" s="79">
        <f t="shared" si="14"/>
        <v>142784140.89470348</v>
      </c>
      <c r="J52" s="79">
        <f>((A52-A49)/(A56-A49))*$H$18</f>
        <v>1429000</v>
      </c>
      <c r="K52" s="79">
        <f t="shared" si="7"/>
        <v>142899999.995</v>
      </c>
      <c r="L52" s="87">
        <v>97.132788000000005</v>
      </c>
      <c r="M52" s="50">
        <f t="shared" si="15"/>
        <v>-3888738.135374601</v>
      </c>
      <c r="N52" s="50">
        <f t="shared" si="10"/>
        <v>-3981386.8450780842</v>
      </c>
      <c r="O52" s="50">
        <f t="shared" si="0"/>
        <v>138802754.05000001</v>
      </c>
      <c r="P52" s="51">
        <f t="shared" si="16"/>
        <v>-3.7460737803485245E-4</v>
      </c>
      <c r="Q52" s="88"/>
      <c r="R52" s="89"/>
      <c r="V52" s="81">
        <v>6.8199999999999999E-4</v>
      </c>
      <c r="W52" s="5">
        <v>0.6</v>
      </c>
      <c r="X52" s="82">
        <f t="shared" si="17"/>
        <v>58474.68</v>
      </c>
      <c r="Y52" s="82">
        <f t="shared" si="8"/>
        <v>0</v>
      </c>
    </row>
    <row r="53" spans="1:32" x14ac:dyDescent="0.25">
      <c r="A53" s="91" t="s">
        <v>49</v>
      </c>
      <c r="B53" s="100"/>
      <c r="C53" s="93"/>
      <c r="D53" s="94"/>
      <c r="E53" s="95"/>
      <c r="F53" s="96"/>
      <c r="G53" s="95"/>
      <c r="H53" s="96"/>
      <c r="I53" s="96">
        <f>I54*K53/K54+L11</f>
        <v>-5891391.2100838153</v>
      </c>
      <c r="J53" s="96"/>
      <c r="K53" s="96">
        <f>L3</f>
        <v>-5900000</v>
      </c>
      <c r="L53" s="98"/>
      <c r="M53" s="95"/>
      <c r="N53" s="95"/>
      <c r="O53" s="95"/>
      <c r="P53" s="51"/>
      <c r="Q53" s="88"/>
      <c r="R53" s="89"/>
      <c r="V53" s="81"/>
      <c r="X53" s="82"/>
      <c r="Y53" s="82"/>
    </row>
    <row r="54" spans="1:32" x14ac:dyDescent="0.25">
      <c r="A54" s="83">
        <v>46721</v>
      </c>
      <c r="B54" s="63"/>
      <c r="C54" s="85">
        <f t="shared" si="2"/>
        <v>565</v>
      </c>
      <c r="D54" s="86">
        <f t="shared" si="11"/>
        <v>365</v>
      </c>
      <c r="E54" s="78">
        <f t="shared" si="13"/>
        <v>-110419.70591639877</v>
      </c>
      <c r="F54" s="79">
        <f>-(($E$32/$C$76*C54)+($E$40/$D$76*D54))</f>
        <v>98088.104083601225</v>
      </c>
      <c r="G54" s="78"/>
      <c r="H54" s="79"/>
      <c r="I54" s="79">
        <f t="shared" si="14"/>
        <v>142789580.2890836</v>
      </c>
      <c r="J54" s="79">
        <f>((A54-A49)/(A56-A49))*$H$19</f>
        <v>1816739.1304347825</v>
      </c>
      <c r="K54" s="79">
        <f t="shared" si="7"/>
        <v>142899999.995</v>
      </c>
      <c r="L54" s="87">
        <v>97.132788000000005</v>
      </c>
      <c r="M54" s="50">
        <f t="shared" si="15"/>
        <v>-3888738.135374601</v>
      </c>
      <c r="N54" s="50">
        <f t="shared" si="10"/>
        <v>-3986826.2394582024</v>
      </c>
      <c r="O54" s="50">
        <f t="shared" si="0"/>
        <v>138802754.05000001</v>
      </c>
      <c r="P54" s="51">
        <f t="shared" si="16"/>
        <v>-3.7461162719409913E-4</v>
      </c>
      <c r="Q54" s="88"/>
      <c r="R54" s="89"/>
      <c r="V54" s="81">
        <v>6.8199999999999999E-4</v>
      </c>
      <c r="W54" s="5">
        <v>0.6</v>
      </c>
      <c r="X54" s="82">
        <f t="shared" si="17"/>
        <v>58474.68</v>
      </c>
      <c r="Y54" s="82">
        <f>+X54-X52</f>
        <v>0</v>
      </c>
    </row>
    <row r="55" spans="1:32" x14ac:dyDescent="0.25">
      <c r="A55" s="83">
        <v>46752</v>
      </c>
      <c r="B55" s="63"/>
      <c r="C55" s="85">
        <f t="shared" si="2"/>
        <v>596</v>
      </c>
      <c r="D55" s="86">
        <f t="shared" si="11"/>
        <v>396</v>
      </c>
      <c r="E55" s="78">
        <f>+$F$19+F55</f>
        <v>-100472.09782692726</v>
      </c>
      <c r="F55" s="79">
        <f>-(($E$32/$C$76*C55)+($E$40/$D$76*D55))*$H$5/$H$4</f>
        <v>99426.922257047554</v>
      </c>
      <c r="G55" s="78"/>
      <c r="H55" s="79"/>
      <c r="I55" s="79">
        <f>+$I$32+$I$40+$I$53+H55+F55</f>
        <v>136899527.89717323</v>
      </c>
      <c r="J55" s="79">
        <f>((A55-A49)/(A56-A49))*$H$19</f>
        <v>2278369.5652173916</v>
      </c>
      <c r="K55" s="79">
        <f t="shared" si="7"/>
        <v>136999999.99500015</v>
      </c>
      <c r="L55" s="87">
        <v>97.132788000000005</v>
      </c>
      <c r="M55" s="50">
        <f>(($K$32*(L55-$L$32)/100)+($K$40*(L55-$L$40)/100))*K55/$K$54</f>
        <v>-3728181.4173934092</v>
      </c>
      <c r="N55" s="50">
        <f t="shared" si="10"/>
        <v>-3827608.3396504568</v>
      </c>
      <c r="O55" s="50">
        <f t="shared" si="0"/>
        <v>133071919.56</v>
      </c>
      <c r="P55" s="51">
        <f>(+$I$32+$I$40)*K55/$K$54+H55+N55-O55+F55</f>
        <v>-2.4769488372839987E-3</v>
      </c>
      <c r="Q55" s="88"/>
      <c r="R55" s="89"/>
      <c r="V55" s="81">
        <v>6.8199999999999999E-4</v>
      </c>
      <c r="W55" s="5">
        <v>0.6</v>
      </c>
      <c r="X55" s="82">
        <f t="shared" si="17"/>
        <v>56060.4</v>
      </c>
      <c r="Y55" s="82">
        <f t="shared" si="8"/>
        <v>-2414.2799999999988</v>
      </c>
      <c r="AF55" s="63"/>
    </row>
    <row r="56" spans="1:32" x14ac:dyDescent="0.25">
      <c r="A56" s="90">
        <v>46783</v>
      </c>
      <c r="B56" s="63"/>
      <c r="C56" s="85">
        <f t="shared" si="2"/>
        <v>627</v>
      </c>
      <c r="D56" s="86">
        <f t="shared" si="11"/>
        <v>427</v>
      </c>
      <c r="E56" s="78">
        <f t="shared" ref="E56:E58" si="18">+$F$19+F56</f>
        <v>-95083.455901953639</v>
      </c>
      <c r="F56" s="79">
        <f>-(($E$32/$C$76*C56)+($E$40/$D$76*D56))*$H$5/$H$4</f>
        <v>104815.56418202117</v>
      </c>
      <c r="G56" s="78"/>
      <c r="H56" s="79"/>
      <c r="I56" s="79">
        <f t="shared" ref="I56:I58" si="19">+$I$32+$I$40+$I$53+H56+F56</f>
        <v>136904916.5390982</v>
      </c>
      <c r="J56" s="79">
        <f>((A56-A49)/(A56-A49))*$H$19</f>
        <v>2740000</v>
      </c>
      <c r="K56" s="79">
        <f t="shared" si="7"/>
        <v>136999999.99500015</v>
      </c>
      <c r="L56" s="87">
        <v>99</v>
      </c>
      <c r="M56" s="50">
        <f t="shared" ref="M56:M60" si="20">(($K$32*(L56-$L$32)/100)+($K$40*(L56-$L$40)/100))*K56/$K$54</f>
        <v>-1170100.9774867736</v>
      </c>
      <c r="N56" s="50">
        <f>M56-H56-F56</f>
        <v>-1274916.5416687948</v>
      </c>
      <c r="O56" s="50">
        <f t="shared" si="0"/>
        <v>135630000</v>
      </c>
      <c r="P56" s="51">
        <f t="shared" ref="P56:P60" si="21">(+$I$32+$I$40)*K56/$K$54+H56+N56-O56+F56</f>
        <v>-2.5703231949592009E-3</v>
      </c>
      <c r="Q56" s="88"/>
      <c r="R56" s="89"/>
      <c r="V56" s="81">
        <v>6.8199999999999999E-4</v>
      </c>
      <c r="W56" s="5">
        <v>0.6</v>
      </c>
      <c r="X56" s="82">
        <f t="shared" si="17"/>
        <v>56060.4</v>
      </c>
      <c r="Y56" s="82">
        <f t="shared" si="8"/>
        <v>0</v>
      </c>
      <c r="AF56" s="63"/>
    </row>
    <row r="57" spans="1:32" x14ac:dyDescent="0.25">
      <c r="A57" s="83">
        <v>46812</v>
      </c>
      <c r="B57" s="63"/>
      <c r="C57" s="85">
        <f t="shared" si="2"/>
        <v>656</v>
      </c>
      <c r="D57" s="86">
        <f t="shared" si="11"/>
        <v>456</v>
      </c>
      <c r="E57" s="78">
        <f t="shared" si="18"/>
        <v>-90042.468294720267</v>
      </c>
      <c r="F57" s="79">
        <f>-(($E$32/$C$76*C57)+($E$40/$D$76*D57))*$H$5/$H$4</f>
        <v>109856.55178925455</v>
      </c>
      <c r="G57" s="78"/>
      <c r="H57" s="79"/>
      <c r="I57" s="79">
        <f t="shared" si="19"/>
        <v>136909957.52670544</v>
      </c>
      <c r="J57" s="79">
        <f>((A57-A56)/(A63-A56))*$H$19</f>
        <v>436593.40659340657</v>
      </c>
      <c r="K57" s="79">
        <f t="shared" si="7"/>
        <v>136999999.99500015</v>
      </c>
      <c r="L57" s="87">
        <v>97.132788000000005</v>
      </c>
      <c r="M57" s="50">
        <f t="shared" si="20"/>
        <v>-3728181.4173934092</v>
      </c>
      <c r="N57" s="50">
        <f t="shared" si="10"/>
        <v>-3838037.9691826636</v>
      </c>
      <c r="O57" s="50">
        <f t="shared" si="0"/>
        <v>133071919.56</v>
      </c>
      <c r="P57" s="51">
        <f t="shared" si="21"/>
        <v>-2.4769598239799961E-3</v>
      </c>
      <c r="Q57" s="88"/>
      <c r="R57" s="89"/>
      <c r="V57" s="81">
        <v>6.8199999999999999E-4</v>
      </c>
      <c r="W57" s="5">
        <v>0.6</v>
      </c>
      <c r="X57" s="82">
        <f t="shared" si="17"/>
        <v>56060.4</v>
      </c>
      <c r="Y57" s="82">
        <f t="shared" si="8"/>
        <v>0</v>
      </c>
      <c r="AF57" s="63"/>
    </row>
    <row r="58" spans="1:32" x14ac:dyDescent="0.25">
      <c r="A58" s="83">
        <v>46843</v>
      </c>
      <c r="B58" s="63"/>
      <c r="C58" s="85">
        <f t="shared" si="2"/>
        <v>687</v>
      </c>
      <c r="D58" s="86">
        <f t="shared" si="11"/>
        <v>487</v>
      </c>
      <c r="E58" s="78">
        <f t="shared" si="18"/>
        <v>-84653.826369746675</v>
      </c>
      <c r="F58" s="79">
        <f>-(($E$32/$C$76*C58)+($E$40/$D$76*D58))*$H$5/$H$4</f>
        <v>115245.19371422814</v>
      </c>
      <c r="G58" s="78"/>
      <c r="H58" s="79"/>
      <c r="I58" s="79">
        <f t="shared" si="19"/>
        <v>136915346.16863042</v>
      </c>
      <c r="J58" s="79">
        <f>((A58-A56)/(A63-A56))*$H$19</f>
        <v>903296.70329670329</v>
      </c>
      <c r="K58" s="79">
        <f t="shared" si="7"/>
        <v>136999999.99500015</v>
      </c>
      <c r="L58" s="87">
        <v>97.132788000000005</v>
      </c>
      <c r="M58" s="50">
        <f t="shared" si="20"/>
        <v>-3728181.4173934092</v>
      </c>
      <c r="N58" s="50">
        <f t="shared" si="10"/>
        <v>-3843426.6111076372</v>
      </c>
      <c r="O58" s="50">
        <f t="shared" si="0"/>
        <v>133071919.56</v>
      </c>
      <c r="P58" s="51">
        <f t="shared" si="21"/>
        <v>-2.4769486335571855E-3</v>
      </c>
      <c r="Q58" s="88"/>
      <c r="R58" s="89"/>
      <c r="U58" s="34"/>
      <c r="V58" s="81">
        <v>6.8199999999999999E-4</v>
      </c>
      <c r="W58" s="5">
        <v>0.6</v>
      </c>
      <c r="X58" s="82">
        <f t="shared" si="17"/>
        <v>56060.4</v>
      </c>
      <c r="Y58" s="82">
        <f t="shared" si="8"/>
        <v>0</v>
      </c>
      <c r="AF58" s="63"/>
    </row>
    <row r="59" spans="1:32" x14ac:dyDescent="0.25">
      <c r="A59" s="91" t="s">
        <v>50</v>
      </c>
      <c r="B59" s="100"/>
      <c r="C59" s="93"/>
      <c r="D59" s="94"/>
      <c r="E59" s="95">
        <f>L28</f>
        <v>-22420</v>
      </c>
      <c r="F59" s="96"/>
      <c r="G59" s="95"/>
      <c r="H59" s="96"/>
      <c r="I59" s="96">
        <f>L18*L19/100</f>
        <v>5877580</v>
      </c>
      <c r="J59" s="96"/>
      <c r="K59" s="96">
        <f t="shared" si="7"/>
        <v>5900000</v>
      </c>
      <c r="L59" s="98">
        <v>99.62</v>
      </c>
      <c r="M59" s="95"/>
      <c r="N59" s="95"/>
      <c r="O59" s="95"/>
      <c r="P59" s="51"/>
      <c r="Q59" s="88"/>
      <c r="R59" s="89"/>
      <c r="U59" s="34"/>
      <c r="V59" s="81"/>
      <c r="X59" s="82"/>
      <c r="Y59" s="82"/>
      <c r="AF59" s="63"/>
    </row>
    <row r="60" spans="1:32" x14ac:dyDescent="0.25">
      <c r="A60" s="83">
        <v>46873</v>
      </c>
      <c r="C60" s="85">
        <f t="shared" si="2"/>
        <v>717</v>
      </c>
      <c r="D60" s="86">
        <f t="shared" si="11"/>
        <v>517</v>
      </c>
      <c r="E60" s="78">
        <f>+$F$20+F60</f>
        <v>-101859.01160364317</v>
      </c>
      <c r="F60" s="79">
        <f>-(($E$32/$C$76*C60)+($E$40/$D$76*D60))*$H$5/$H$4+(-$E$59/Q76*Q60)</f>
        <v>120460.00848033164</v>
      </c>
      <c r="G60" s="78"/>
      <c r="H60" s="79"/>
      <c r="I60" s="79">
        <f>+$I$32+$I$40+$I$53+$I$59+H60+F60</f>
        <v>142798140.98339653</v>
      </c>
      <c r="J60" s="79">
        <f>((A60-A56)/(A63-A56))*$H$18</f>
        <v>1413296.7032967033</v>
      </c>
      <c r="K60" s="79">
        <f t="shared" si="7"/>
        <v>142899999.99500018</v>
      </c>
      <c r="L60" s="87">
        <v>97.132788000000005</v>
      </c>
      <c r="M60" s="50">
        <f t="shared" si="20"/>
        <v>-3888738.1353746057</v>
      </c>
      <c r="N60" s="50">
        <f t="shared" si="10"/>
        <v>-4009198.1438549375</v>
      </c>
      <c r="O60" s="50">
        <f t="shared" si="0"/>
        <v>138802754.05000001</v>
      </c>
      <c r="P60" s="51">
        <f t="shared" si="21"/>
        <v>-3.7444497866090387E-4</v>
      </c>
      <c r="Q60" s="88">
        <f>A60-$A$60</f>
        <v>0</v>
      </c>
      <c r="R60" s="89"/>
      <c r="S60" s="34"/>
      <c r="U60" s="34"/>
      <c r="V60" s="81">
        <v>6.8199999999999999E-4</v>
      </c>
      <c r="W60" s="5">
        <v>0.6</v>
      </c>
      <c r="X60" s="82">
        <f t="shared" si="17"/>
        <v>58474.68</v>
      </c>
      <c r="Y60" s="82">
        <f>+X60-X58</f>
        <v>2414.2799999999988</v>
      </c>
      <c r="AF60" s="63"/>
    </row>
    <row r="61" spans="1:32" x14ac:dyDescent="0.25">
      <c r="A61" s="83">
        <v>46904</v>
      </c>
      <c r="C61" s="85">
        <f t="shared" si="2"/>
        <v>748</v>
      </c>
      <c r="D61" s="86">
        <f t="shared" si="11"/>
        <v>548</v>
      </c>
      <c r="E61" s="78">
        <f t="shared" ref="E61:E66" si="22">+$F$20+F61</f>
        <v>-94949.538168822721</v>
      </c>
      <c r="F61" s="79">
        <f>-(($E$32/$C$76*C61)+($E$40/$D$76*D61))*$H$5/$H$4+(-$E$59/Q76*Q61)</f>
        <v>127369.48191515209</v>
      </c>
      <c r="G61" s="78"/>
      <c r="H61" s="79"/>
      <c r="I61" s="79">
        <f t="shared" ref="I61:I66" si="23">+$I$32+$I$40+$I$53+$I$59+H61+F61</f>
        <v>142805050.45683134</v>
      </c>
      <c r="J61" s="79">
        <f>((A61-A56)/(A63-A56))*$H$20</f>
        <v>1900098.9010989009</v>
      </c>
      <c r="K61" s="79">
        <f t="shared" si="7"/>
        <v>142899999.99500015</v>
      </c>
      <c r="L61" s="87">
        <v>97.132788000000005</v>
      </c>
      <c r="M61" s="50">
        <f>(($K$32*(L61-$L$32)/100)+($K$40*(L61-$L$40)/100))*$H$5/$H$4+($K$59*(L61-$L$59)/100)</f>
        <v>-3874926.9253990222</v>
      </c>
      <c r="N61" s="50">
        <f t="shared" si="10"/>
        <v>-4002296.4073141743</v>
      </c>
      <c r="O61" s="50">
        <f t="shared" si="0"/>
        <v>138802754.05000001</v>
      </c>
      <c r="P61" s="51">
        <f>((+$I$32+$I$40)*$H$5/$H$4)+$I$59+(H61+N61-O61+F61)</f>
        <v>-2.765953540802002E-4</v>
      </c>
      <c r="Q61" s="88">
        <f t="shared" ref="Q61:Q76" si="24">A61-$A$60</f>
        <v>31</v>
      </c>
      <c r="R61" s="89"/>
      <c r="U61" s="34"/>
      <c r="V61" s="81">
        <v>6.8199999999999999E-4</v>
      </c>
      <c r="W61" s="5">
        <v>0.6</v>
      </c>
      <c r="X61" s="82">
        <f t="shared" si="17"/>
        <v>58474.69</v>
      </c>
      <c r="Y61" s="82">
        <f t="shared" si="8"/>
        <v>1.0000000002037268E-2</v>
      </c>
      <c r="AF61" s="63"/>
    </row>
    <row r="62" spans="1:32" x14ac:dyDescent="0.25">
      <c r="A62" s="83">
        <v>46934</v>
      </c>
      <c r="C62" s="85">
        <f t="shared" si="2"/>
        <v>778</v>
      </c>
      <c r="D62" s="86">
        <f t="shared" si="11"/>
        <v>578</v>
      </c>
      <c r="E62" s="78">
        <f t="shared" si="22"/>
        <v>-88262.950973835221</v>
      </c>
      <c r="F62" s="79">
        <f>-(($E$32/$C$76*C62)+($E$40/$D$76*D62))*$H$5/$H$4+(-$E$59/Q76*Q62)</f>
        <v>134056.06911013959</v>
      </c>
      <c r="G62" s="78"/>
      <c r="H62" s="79"/>
      <c r="I62" s="79">
        <f t="shared" si="23"/>
        <v>142811737.04402632</v>
      </c>
      <c r="J62" s="79">
        <f>((A62-A56)/(A63-A56))*$H$20</f>
        <v>2371197.8021978023</v>
      </c>
      <c r="K62" s="79">
        <f t="shared" si="7"/>
        <v>142899999.99500015</v>
      </c>
      <c r="L62" s="87">
        <v>97.132788000000005</v>
      </c>
      <c r="M62" s="50">
        <f t="shared" ref="M62:M66" si="25">(($K$32*(L62-$L$32)/100)+($K$40*(L62-$L$40)/100))*$H$5/$H$4+($K$59*(L62-$L$59)/100)</f>
        <v>-3874926.9253990222</v>
      </c>
      <c r="N62" s="50">
        <f t="shared" si="10"/>
        <v>-4008982.9945091619</v>
      </c>
      <c r="O62" s="50">
        <f t="shared" si="0"/>
        <v>138802754.05000001</v>
      </c>
      <c r="P62" s="51">
        <f t="shared" ref="P62:P66" si="26">((+$I$32+$I$40)*$H$5/$H$4)+$I$59+(H62+N62-O62+F62)</f>
        <v>-2.765953540802002E-4</v>
      </c>
      <c r="Q62" s="88">
        <f t="shared" si="24"/>
        <v>61</v>
      </c>
      <c r="R62" s="89"/>
      <c r="U62" s="34"/>
      <c r="V62" s="81">
        <v>6.8199999999999999E-4</v>
      </c>
      <c r="W62" s="5">
        <v>0.6</v>
      </c>
      <c r="X62" s="82">
        <f t="shared" si="17"/>
        <v>58474.7</v>
      </c>
      <c r="Y62" s="82">
        <f t="shared" si="8"/>
        <v>9.9999999947613105E-3</v>
      </c>
      <c r="AF62" s="63"/>
    </row>
    <row r="63" spans="1:32" x14ac:dyDescent="0.25">
      <c r="A63" s="90">
        <v>46965</v>
      </c>
      <c r="C63" s="85">
        <f t="shared" si="2"/>
        <v>809</v>
      </c>
      <c r="D63" s="86">
        <f t="shared" si="11"/>
        <v>609</v>
      </c>
      <c r="E63" s="78">
        <f t="shared" si="22"/>
        <v>-81353.47753901477</v>
      </c>
      <c r="F63" s="79">
        <f>-(($E$32/$C$76*C63)+($E$40/$D$76*D63))*$H$5/$H$4+(-$E$59/Q76*Q63)</f>
        <v>140965.54254496004</v>
      </c>
      <c r="G63" s="78"/>
      <c r="H63" s="79"/>
      <c r="I63" s="79">
        <f t="shared" si="23"/>
        <v>142818646.51746115</v>
      </c>
      <c r="J63" s="79">
        <f>((A63-A56)/(A63-A56))*$H$20</f>
        <v>2858000</v>
      </c>
      <c r="K63" s="79">
        <f t="shared" si="7"/>
        <v>142899999.99500015</v>
      </c>
      <c r="L63" s="87">
        <v>97.132788000000005</v>
      </c>
      <c r="M63" s="50">
        <f t="shared" si="25"/>
        <v>-3874926.9253990222</v>
      </c>
      <c r="N63" s="50">
        <f t="shared" si="10"/>
        <v>-4015892.4679439822</v>
      </c>
      <c r="O63" s="50">
        <f t="shared" si="0"/>
        <v>138802754.05000001</v>
      </c>
      <c r="P63" s="51">
        <f t="shared" si="26"/>
        <v>-2.765953540802002E-4</v>
      </c>
      <c r="Q63" s="88">
        <f t="shared" si="24"/>
        <v>92</v>
      </c>
      <c r="R63" s="89"/>
      <c r="U63" s="34"/>
      <c r="V63" s="81">
        <v>6.8199999999999999E-4</v>
      </c>
      <c r="W63" s="5">
        <v>0.6</v>
      </c>
      <c r="X63" s="82">
        <f t="shared" si="17"/>
        <v>58474.720000000001</v>
      </c>
      <c r="Y63" s="82">
        <f t="shared" si="8"/>
        <v>2.0000000004074536E-2</v>
      </c>
      <c r="AF63" s="63"/>
    </row>
    <row r="64" spans="1:32" x14ac:dyDescent="0.25">
      <c r="A64" s="83">
        <v>46996</v>
      </c>
      <c r="C64" s="85">
        <f t="shared" si="2"/>
        <v>840</v>
      </c>
      <c r="D64" s="86">
        <f t="shared" si="11"/>
        <v>640</v>
      </c>
      <c r="E64" s="78">
        <f t="shared" si="22"/>
        <v>-74444.004104194348</v>
      </c>
      <c r="F64" s="79">
        <f>-(($E$32/$C$76*C64)+($E$40/$D$76*D64))*$H$5/$H$4++(-$E$59/Q76*Q64)</f>
        <v>147875.01597978047</v>
      </c>
      <c r="G64" s="78"/>
      <c r="H64" s="79"/>
      <c r="I64" s="79">
        <f t="shared" si="23"/>
        <v>142825555.99089596</v>
      </c>
      <c r="J64" s="79">
        <f>((A64-A63)/(A70-A63))*$H$20</f>
        <v>481510.86956521741</v>
      </c>
      <c r="K64" s="79">
        <f t="shared" si="7"/>
        <v>142899999.99500015</v>
      </c>
      <c r="L64" s="87">
        <v>97.132788000000005</v>
      </c>
      <c r="M64" s="50">
        <f t="shared" si="25"/>
        <v>-3874926.9253990222</v>
      </c>
      <c r="N64" s="50">
        <f t="shared" si="10"/>
        <v>-4022801.9413788025</v>
      </c>
      <c r="O64" s="50">
        <f t="shared" si="0"/>
        <v>138802754.05000001</v>
      </c>
      <c r="P64" s="51">
        <f t="shared" si="26"/>
        <v>-2.765953540802002E-4</v>
      </c>
      <c r="Q64" s="88">
        <f t="shared" si="24"/>
        <v>123</v>
      </c>
      <c r="R64" s="89"/>
      <c r="U64" s="34"/>
      <c r="V64" s="81">
        <v>6.8199999999999999E-4</v>
      </c>
      <c r="W64" s="5">
        <v>0.6</v>
      </c>
      <c r="X64" s="82">
        <f t="shared" si="17"/>
        <v>58474.73</v>
      </c>
      <c r="Y64" s="82">
        <f t="shared" si="8"/>
        <v>1.0000000002037268E-2</v>
      </c>
      <c r="AF64" s="63"/>
    </row>
    <row r="65" spans="1:32" x14ac:dyDescent="0.25">
      <c r="A65" s="91" t="s">
        <v>51</v>
      </c>
      <c r="B65" s="92"/>
      <c r="C65" s="93"/>
      <c r="D65" s="94"/>
      <c r="E65" s="95"/>
      <c r="F65" s="96"/>
      <c r="G65" s="95"/>
      <c r="H65" s="96"/>
      <c r="I65" s="96">
        <f>I66*K65/K66+R26</f>
        <v>-5990665.4015359115</v>
      </c>
      <c r="J65" s="96"/>
      <c r="K65" s="96">
        <f>R18</f>
        <v>-6000000</v>
      </c>
      <c r="L65" s="98"/>
      <c r="M65" s="95"/>
      <c r="N65" s="95"/>
      <c r="O65" s="95"/>
      <c r="P65" s="51"/>
      <c r="Q65" s="88"/>
      <c r="R65" s="89"/>
      <c r="U65" s="34"/>
      <c r="V65" s="81"/>
      <c r="X65" s="82"/>
      <c r="Y65" s="82"/>
      <c r="AF65" s="63"/>
    </row>
    <row r="66" spans="1:32" x14ac:dyDescent="0.25">
      <c r="A66" s="83">
        <v>47026</v>
      </c>
      <c r="C66" s="85">
        <f t="shared" si="2"/>
        <v>870</v>
      </c>
      <c r="D66" s="86">
        <f t="shared" si="11"/>
        <v>670</v>
      </c>
      <c r="E66" s="78">
        <f t="shared" si="22"/>
        <v>-67757.416909206862</v>
      </c>
      <c r="F66" s="79">
        <f>-(($E$32/$C$76*C66)+($E$40/$D$76*D66))*$H$5/$H$4+(-$E$59/Q76*Q66)</f>
        <v>154561.60317476795</v>
      </c>
      <c r="G66" s="78"/>
      <c r="H66" s="79"/>
      <c r="I66" s="79">
        <f t="shared" si="23"/>
        <v>142832242.57809097</v>
      </c>
      <c r="J66" s="79">
        <f>((A66-A63)/(A70-A63))*$H$21</f>
        <v>907706.52173913037</v>
      </c>
      <c r="K66" s="79">
        <f t="shared" si="7"/>
        <v>142899999.99500018</v>
      </c>
      <c r="L66" s="87">
        <v>97.132788000000005</v>
      </c>
      <c r="M66" s="50">
        <f t="shared" si="25"/>
        <v>-3874926.9253990222</v>
      </c>
      <c r="N66" s="50">
        <f t="shared" si="10"/>
        <v>-4029488.5285737901</v>
      </c>
      <c r="O66" s="50">
        <f t="shared" si="0"/>
        <v>138802754.05000001</v>
      </c>
      <c r="P66" s="51">
        <f t="shared" si="26"/>
        <v>-2.765655517578125E-4</v>
      </c>
      <c r="Q66" s="88">
        <f t="shared" si="24"/>
        <v>153</v>
      </c>
      <c r="R66" s="89"/>
      <c r="U66" s="34"/>
      <c r="V66" s="81">
        <v>6.8199999999999999E-4</v>
      </c>
      <c r="W66" s="5">
        <v>0.6</v>
      </c>
      <c r="X66" s="82">
        <f t="shared" si="17"/>
        <v>58474.74</v>
      </c>
      <c r="Y66" s="82">
        <f>+X66-X64</f>
        <v>9.9999999947613105E-3</v>
      </c>
      <c r="AF66" s="63"/>
    </row>
    <row r="67" spans="1:32" x14ac:dyDescent="0.25">
      <c r="A67" s="83">
        <v>47057</v>
      </c>
      <c r="C67" s="85">
        <f t="shared" si="2"/>
        <v>901</v>
      </c>
      <c r="D67" s="86">
        <f t="shared" si="11"/>
        <v>701</v>
      </c>
      <c r="E67" s="78">
        <f>+$F$21+F67</f>
        <v>-58293.096302613674</v>
      </c>
      <c r="F67" s="79">
        <f>(-(($E$32/$C$76*C67)+($E$40/$D$76*D67))*$H$5/$H$4+(-$E$59/Q76*Q67))*$H$7/$H$6</f>
        <v>154691.32531737338</v>
      </c>
      <c r="G67" s="78"/>
      <c r="H67" s="79"/>
      <c r="I67" s="79">
        <f>+$I$32+$I$40+$I$53+$I$59+H67+F67+$I$65</f>
        <v>136841706.89869767</v>
      </c>
      <c r="J67" s="79">
        <f>((A67-A63)/(A70-A63))*$H$21</f>
        <v>1369000</v>
      </c>
      <c r="K67" s="79">
        <f t="shared" si="7"/>
        <v>136899999.9950003</v>
      </c>
      <c r="L67" s="87">
        <v>97.132788000000005</v>
      </c>
      <c r="M67" s="50">
        <f t="shared" ref="M67:M76" si="27">((($K$32*(L67-$L$32)/100)+($K$40*(L67-$L$40)/100))*$H$5/$H$4+($K$59*(L67-$L$59)/100))*$H$7/$H$6</f>
        <v>-3712228.8039686922</v>
      </c>
      <c r="N67" s="50">
        <f t="shared" si="10"/>
        <v>-3866920.1292860657</v>
      </c>
      <c r="O67" s="50">
        <f t="shared" si="0"/>
        <v>132974786.77</v>
      </c>
      <c r="P67" s="51">
        <f t="shared" ref="P67:P76" si="28">(((+$I$32+$I$40)*$H$5/$H$4)+$I$59)*$H$7/$H$6+(H67+N67-O67+F67)</f>
        <v>-1.8095970153808594E-4</v>
      </c>
      <c r="Q67" s="88">
        <f t="shared" si="24"/>
        <v>184</v>
      </c>
      <c r="R67" s="89"/>
      <c r="U67" s="34"/>
      <c r="V67" s="81">
        <v>6.8199999999999999E-4</v>
      </c>
      <c r="W67" s="5">
        <v>0.6</v>
      </c>
      <c r="X67" s="82">
        <f t="shared" si="17"/>
        <v>56019.56</v>
      </c>
      <c r="Y67" s="82">
        <f t="shared" si="8"/>
        <v>-2455.1800000000003</v>
      </c>
      <c r="AF67" s="63"/>
    </row>
    <row r="68" spans="1:32" x14ac:dyDescent="0.25">
      <c r="A68" s="83">
        <v>47087</v>
      </c>
      <c r="B68" s="34"/>
      <c r="C68" s="85">
        <f t="shared" si="2"/>
        <v>931</v>
      </c>
      <c r="D68" s="86">
        <f t="shared" si="11"/>
        <v>731</v>
      </c>
      <c r="E68" s="78">
        <f t="shared" ref="E68:E76" si="29">+$F$21+F68</f>
        <v>-51887.2615440847</v>
      </c>
      <c r="F68" s="79">
        <f>(-(($E$32/$C$76*C68)+($E$40/$D$76*D68))*$H$5/$H$4+(-$E$59/Q76*Q68))*$H$7/$H$6</f>
        <v>161097.16007590236</v>
      </c>
      <c r="G68" s="78"/>
      <c r="H68" s="79"/>
      <c r="I68" s="79">
        <f t="shared" ref="I68:I76" si="30">+$I$32+$I$40+$I$53+$I$59+H68+F68+$I$65</f>
        <v>136848112.73345619</v>
      </c>
      <c r="J68" s="79">
        <f>((A68-A63)/(A70-A63))*$H$21</f>
        <v>1815413.0434782607</v>
      </c>
      <c r="K68" s="79">
        <f t="shared" si="7"/>
        <v>136899999.99500027</v>
      </c>
      <c r="L68" s="87">
        <v>97.132788000000005</v>
      </c>
      <c r="M68" s="50">
        <f t="shared" si="27"/>
        <v>-3712228.8039686922</v>
      </c>
      <c r="N68" s="50">
        <f t="shared" si="10"/>
        <v>-3873325.9640445947</v>
      </c>
      <c r="O68" s="50">
        <f t="shared" si="0"/>
        <v>132974786.77</v>
      </c>
      <c r="P68" s="51">
        <f t="shared" si="28"/>
        <v>-1.8095970153808594E-4</v>
      </c>
      <c r="Q68" s="88">
        <f t="shared" si="24"/>
        <v>214</v>
      </c>
      <c r="R68" s="89"/>
      <c r="U68" s="34"/>
      <c r="V68" s="81">
        <v>6.8199999999999999E-4</v>
      </c>
      <c r="W68" s="5">
        <v>0.6</v>
      </c>
      <c r="X68" s="82">
        <f t="shared" si="17"/>
        <v>56019.57</v>
      </c>
      <c r="Y68" s="82">
        <f t="shared" si="8"/>
        <v>1.0000000002037268E-2</v>
      </c>
      <c r="AF68" s="63"/>
    </row>
    <row r="69" spans="1:32" x14ac:dyDescent="0.25">
      <c r="A69" s="83">
        <v>47118</v>
      </c>
      <c r="C69" s="85">
        <f t="shared" si="2"/>
        <v>962</v>
      </c>
      <c r="D69" s="86">
        <f t="shared" si="11"/>
        <v>762</v>
      </c>
      <c r="E69" s="78">
        <f t="shared" si="29"/>
        <v>-45267.898960271443</v>
      </c>
      <c r="F69" s="79">
        <f>(-(($E$32/$C$76*C69)+($E$40/$D$76*D69))*$H$5/$H$4+(-$E$59/Q76*Q69))*$H$7/$H$6</f>
        <v>167716.52265971561</v>
      </c>
      <c r="G69" s="78"/>
      <c r="H69" s="79"/>
      <c r="I69" s="79">
        <f t="shared" si="30"/>
        <v>136854732.09604001</v>
      </c>
      <c r="J69" s="79">
        <f>((A69-A63)/(A70-A63))*$H$21</f>
        <v>2276706.5217391304</v>
      </c>
      <c r="K69" s="79">
        <f t="shared" si="7"/>
        <v>136899999.99500027</v>
      </c>
      <c r="L69" s="87">
        <v>97.132788000000005</v>
      </c>
      <c r="M69" s="50">
        <f t="shared" si="27"/>
        <v>-3712228.8039686922</v>
      </c>
      <c r="N69" s="50">
        <f t="shared" si="10"/>
        <v>-3879945.3266284079</v>
      </c>
      <c r="O69" s="50">
        <f t="shared" si="0"/>
        <v>132974786.77</v>
      </c>
      <c r="P69" s="51">
        <f t="shared" si="28"/>
        <v>-1.8095970153808594E-4</v>
      </c>
      <c r="Q69" s="88">
        <f t="shared" si="24"/>
        <v>245</v>
      </c>
      <c r="R69" s="89"/>
      <c r="U69" s="34"/>
      <c r="V69" s="81">
        <v>6.8199999999999999E-4</v>
      </c>
      <c r="W69" s="5">
        <v>0.6</v>
      </c>
      <c r="X69" s="82">
        <f t="shared" si="17"/>
        <v>56019.58</v>
      </c>
      <c r="Y69" s="82">
        <f t="shared" si="8"/>
        <v>1.0000000002037268E-2</v>
      </c>
      <c r="AF69" s="63"/>
    </row>
    <row r="70" spans="1:32" x14ac:dyDescent="0.25">
      <c r="A70" s="90">
        <v>47149</v>
      </c>
      <c r="C70" s="85">
        <f t="shared" si="2"/>
        <v>993</v>
      </c>
      <c r="D70" s="86">
        <f t="shared" si="11"/>
        <v>793</v>
      </c>
      <c r="E70" s="78">
        <f t="shared" si="29"/>
        <v>-38648.536376458156</v>
      </c>
      <c r="F70" s="79">
        <f>(-(($E$32/$C$76*C70)+($E$40/$D$76*D70))*$H$5/$H$4+(-$E$59/Q76*Q70))*$H$7/$H$6</f>
        <v>174335.8852435289</v>
      </c>
      <c r="G70" s="78"/>
      <c r="H70" s="79"/>
      <c r="I70" s="79">
        <f t="shared" si="30"/>
        <v>136861351.45862383</v>
      </c>
      <c r="J70" s="79">
        <f>((A70-A63)/(A70-A63))*$H$21</f>
        <v>2738000</v>
      </c>
      <c r="K70" s="79">
        <f t="shared" si="7"/>
        <v>136899999.99500027</v>
      </c>
      <c r="L70" s="87">
        <v>97.132788000000005</v>
      </c>
      <c r="M70" s="50">
        <f t="shared" si="27"/>
        <v>-3712228.8039686922</v>
      </c>
      <c r="N70" s="50">
        <f t="shared" si="10"/>
        <v>-3886564.6892122212</v>
      </c>
      <c r="O70" s="50">
        <f t="shared" si="0"/>
        <v>132974786.77</v>
      </c>
      <c r="P70" s="51">
        <f t="shared" si="28"/>
        <v>-1.8095970153808594E-4</v>
      </c>
      <c r="Q70" s="88">
        <f t="shared" si="24"/>
        <v>276</v>
      </c>
      <c r="R70" s="89"/>
      <c r="U70" s="34"/>
      <c r="V70" s="81">
        <v>6.8199999999999999E-4</v>
      </c>
      <c r="W70" s="5">
        <v>0.6</v>
      </c>
      <c r="X70" s="82">
        <f t="shared" si="17"/>
        <v>56019.59</v>
      </c>
      <c r="Y70" s="82">
        <f t="shared" si="8"/>
        <v>9.9999999947613105E-3</v>
      </c>
      <c r="AF70" s="63"/>
    </row>
    <row r="71" spans="1:32" x14ac:dyDescent="0.25">
      <c r="A71" s="83">
        <v>47177</v>
      </c>
      <c r="C71" s="85">
        <f t="shared" si="2"/>
        <v>1021</v>
      </c>
      <c r="D71" s="86">
        <f t="shared" si="11"/>
        <v>821</v>
      </c>
      <c r="E71" s="78">
        <f t="shared" si="29"/>
        <v>-32669.757268497779</v>
      </c>
      <c r="F71" s="79">
        <f>(-(($E$32/$C$76*C71)+($E$40/$D$76*D71))*$H$5/$H$4+(-$E$59/Q76*Q71))*$H$7/$H$6</f>
        <v>180314.66435148928</v>
      </c>
      <c r="G71" s="78"/>
      <c r="H71" s="79"/>
      <c r="I71" s="79">
        <f t="shared" si="30"/>
        <v>136867330.23773178</v>
      </c>
      <c r="J71" s="79">
        <f>((A71-A70)/(A76-A70))*$H$21</f>
        <v>423558.01104972372</v>
      </c>
      <c r="K71" s="79">
        <f t="shared" si="7"/>
        <v>136899999.99500027</v>
      </c>
      <c r="L71" s="87">
        <v>97.132788000000005</v>
      </c>
      <c r="M71" s="50">
        <f t="shared" si="27"/>
        <v>-3712228.8039686922</v>
      </c>
      <c r="N71" s="50">
        <f t="shared" si="10"/>
        <v>-3892543.4683201816</v>
      </c>
      <c r="O71" s="50">
        <f t="shared" si="0"/>
        <v>132974786.77</v>
      </c>
      <c r="P71" s="51">
        <f t="shared" si="28"/>
        <v>-1.8095970153808594E-4</v>
      </c>
      <c r="Q71" s="88">
        <f t="shared" si="24"/>
        <v>304</v>
      </c>
      <c r="R71" s="89"/>
      <c r="U71" s="34"/>
      <c r="V71" s="81">
        <v>6.8199999999999999E-4</v>
      </c>
      <c r="W71" s="5">
        <v>0.6</v>
      </c>
      <c r="X71" s="82">
        <f t="shared" si="17"/>
        <v>56019.6</v>
      </c>
      <c r="Y71" s="82">
        <f t="shared" si="8"/>
        <v>1.0000000002037268E-2</v>
      </c>
      <c r="AF71" s="63"/>
    </row>
    <row r="72" spans="1:32" x14ac:dyDescent="0.25">
      <c r="A72" s="83">
        <v>47208</v>
      </c>
      <c r="C72" s="85">
        <f t="shared" si="2"/>
        <v>1052</v>
      </c>
      <c r="D72" s="86">
        <f t="shared" si="11"/>
        <v>852</v>
      </c>
      <c r="E72" s="78">
        <f t="shared" si="29"/>
        <v>-26050.394684684521</v>
      </c>
      <c r="F72" s="79">
        <f>(-(($E$32/$C$76*C72)+($E$40/$D$76*D72))*$H$5/$H$4+(-$E$59/Q76*Q72))*$H$7/$H$6</f>
        <v>186934.02693530254</v>
      </c>
      <c r="G72" s="78"/>
      <c r="H72" s="79"/>
      <c r="I72" s="79">
        <f t="shared" si="30"/>
        <v>136873949.6003156</v>
      </c>
      <c r="J72" s="79">
        <f>((A72-A70)/(A76-A70))*$H$21</f>
        <v>892497.23756906076</v>
      </c>
      <c r="K72" s="79">
        <f t="shared" si="7"/>
        <v>136899999.99500027</v>
      </c>
      <c r="L72" s="87">
        <v>97.132788000000005</v>
      </c>
      <c r="M72" s="50">
        <f t="shared" si="27"/>
        <v>-3712228.8039686922</v>
      </c>
      <c r="N72" s="50">
        <f t="shared" si="10"/>
        <v>-3899162.8309039949</v>
      </c>
      <c r="O72" s="50">
        <f t="shared" si="0"/>
        <v>132974786.77</v>
      </c>
      <c r="P72" s="51">
        <f t="shared" si="28"/>
        <v>-1.8095970153808594E-4</v>
      </c>
      <c r="Q72" s="88">
        <f t="shared" si="24"/>
        <v>335</v>
      </c>
      <c r="R72" s="89"/>
      <c r="U72" s="34"/>
      <c r="V72" s="81">
        <v>6.8199999999999999E-4</v>
      </c>
      <c r="W72" s="5">
        <v>0.6</v>
      </c>
      <c r="X72" s="82">
        <f t="shared" si="17"/>
        <v>56019.62</v>
      </c>
      <c r="Y72" s="82">
        <f t="shared" si="8"/>
        <v>2.0000000004074536E-2</v>
      </c>
      <c r="AF72" s="63"/>
    </row>
    <row r="73" spans="1:32" x14ac:dyDescent="0.25">
      <c r="A73" s="83">
        <v>47238</v>
      </c>
      <c r="C73" s="85">
        <f t="shared" si="2"/>
        <v>1082</v>
      </c>
      <c r="D73" s="86">
        <f t="shared" si="11"/>
        <v>882</v>
      </c>
      <c r="E73" s="78">
        <f t="shared" si="29"/>
        <v>-19644.559926155547</v>
      </c>
      <c r="F73" s="79">
        <f>(-(($E$32/$C$76*C73)+($E$40/$D$76*D73))*$H$5/$H$4+(-$E$59/Q76*Q73))*$H$7/$H$6</f>
        <v>193339.86169383151</v>
      </c>
      <c r="G73" s="78"/>
      <c r="H73" s="79"/>
      <c r="I73" s="79">
        <f t="shared" si="30"/>
        <v>136880355.43507412</v>
      </c>
      <c r="J73" s="79">
        <f>((A73-A70)/(A76-A70))*$H$21</f>
        <v>1346309.3922651934</v>
      </c>
      <c r="K73" s="79">
        <f t="shared" si="7"/>
        <v>136899999.99500027</v>
      </c>
      <c r="L73" s="87">
        <v>97.132788000000005</v>
      </c>
      <c r="M73" s="50">
        <f t="shared" si="27"/>
        <v>-3712228.8039686922</v>
      </c>
      <c r="N73" s="50">
        <f t="shared" si="10"/>
        <v>-3905568.6656625238</v>
      </c>
      <c r="O73" s="50">
        <f t="shared" si="0"/>
        <v>132974786.77</v>
      </c>
      <c r="P73" s="51">
        <f t="shared" si="28"/>
        <v>-1.8095970153808594E-4</v>
      </c>
      <c r="Q73" s="88">
        <f t="shared" si="24"/>
        <v>365</v>
      </c>
      <c r="R73" s="89"/>
      <c r="U73" s="34"/>
      <c r="V73" s="81">
        <v>6.8199999999999999E-4</v>
      </c>
      <c r="W73" s="5">
        <v>0.6</v>
      </c>
      <c r="X73" s="82">
        <f t="shared" si="17"/>
        <v>56019.63</v>
      </c>
      <c r="Y73" s="82">
        <f t="shared" si="8"/>
        <v>9.9999999947613105E-3</v>
      </c>
      <c r="AF73" s="63"/>
    </row>
    <row r="74" spans="1:32" x14ac:dyDescent="0.25">
      <c r="A74" s="83">
        <v>47269</v>
      </c>
      <c r="C74" s="85">
        <f t="shared" si="2"/>
        <v>1113</v>
      </c>
      <c r="D74" s="86">
        <f t="shared" si="11"/>
        <v>913</v>
      </c>
      <c r="E74" s="78">
        <f t="shared" si="29"/>
        <v>-13025.197342342231</v>
      </c>
      <c r="F74" s="79">
        <f>(-(($E$32/$C$76*C74)+($E$40/$D$76*D74))*$H$5/$H$4+(-$E$59/Q76*Q74))*$H$7/$H$6</f>
        <v>199959.22427764483</v>
      </c>
      <c r="G74" s="78"/>
      <c r="H74" s="79"/>
      <c r="I74" s="79">
        <f t="shared" si="30"/>
        <v>136886974.79765794</v>
      </c>
      <c r="J74" s="79">
        <f>((A74-A70)/(A76-A70))*$H$21</f>
        <v>1815248.6187845303</v>
      </c>
      <c r="K74" s="79">
        <f t="shared" si="7"/>
        <v>136899999.99500027</v>
      </c>
      <c r="L74" s="87">
        <v>97.132788000000005</v>
      </c>
      <c r="M74" s="50">
        <f t="shared" si="27"/>
        <v>-3712228.8039686922</v>
      </c>
      <c r="N74" s="50">
        <f t="shared" si="10"/>
        <v>-3912188.0282463371</v>
      </c>
      <c r="O74" s="50">
        <f t="shared" si="0"/>
        <v>132974786.77</v>
      </c>
      <c r="P74" s="51">
        <f t="shared" si="28"/>
        <v>-1.8095970153808594E-4</v>
      </c>
      <c r="Q74" s="88">
        <f t="shared" si="24"/>
        <v>396</v>
      </c>
      <c r="R74" s="89"/>
      <c r="U74" s="34"/>
      <c r="V74" s="81">
        <v>6.8199999999999999E-4</v>
      </c>
      <c r="W74" s="5">
        <v>0.6</v>
      </c>
      <c r="X74" s="82">
        <f t="shared" si="17"/>
        <v>56019.64</v>
      </c>
      <c r="Y74" s="82">
        <f t="shared" si="8"/>
        <v>1.0000000002037268E-2</v>
      </c>
      <c r="AF74" s="63"/>
    </row>
    <row r="75" spans="1:32" x14ac:dyDescent="0.25">
      <c r="A75" s="83">
        <v>47299</v>
      </c>
      <c r="C75" s="85">
        <f t="shared" si="2"/>
        <v>1143</v>
      </c>
      <c r="D75" s="86">
        <f t="shared" si="11"/>
        <v>943</v>
      </c>
      <c r="E75" s="78">
        <f t="shared" si="29"/>
        <v>-6619.3625838132575</v>
      </c>
      <c r="F75" s="79">
        <f>(-(($E$32/$C$76*C75)+($E$40/$D$76*D75))*$H$5/$H$4+(-$E$59/Q76*Q75))*$H$7/$H$6</f>
        <v>206365.0590361738</v>
      </c>
      <c r="G75" s="78"/>
      <c r="H75" s="79"/>
      <c r="I75" s="79">
        <f t="shared" si="30"/>
        <v>136893380.63241646</v>
      </c>
      <c r="J75" s="79">
        <f>((A75-A70)/(A76-A70))*$H$21</f>
        <v>2269060.7734806631</v>
      </c>
      <c r="K75" s="79">
        <f t="shared" si="7"/>
        <v>136899999.99500027</v>
      </c>
      <c r="L75" s="87">
        <v>97.132788000000005</v>
      </c>
      <c r="M75" s="50">
        <f t="shared" si="27"/>
        <v>-3712228.8039686922</v>
      </c>
      <c r="N75" s="50">
        <f t="shared" si="10"/>
        <v>-3918593.8630048661</v>
      </c>
      <c r="O75" s="50">
        <f t="shared" si="0"/>
        <v>132974786.77</v>
      </c>
      <c r="P75" s="51">
        <f t="shared" si="28"/>
        <v>-1.8098950386047363E-4</v>
      </c>
      <c r="Q75" s="88">
        <f t="shared" si="24"/>
        <v>426</v>
      </c>
      <c r="R75" s="89"/>
      <c r="U75" s="34"/>
      <c r="V75" s="81">
        <v>6.8199999999999999E-4</v>
      </c>
      <c r="W75" s="5">
        <v>0.6</v>
      </c>
      <c r="X75" s="82">
        <f t="shared" si="17"/>
        <v>56019.65</v>
      </c>
      <c r="Y75" s="82">
        <f t="shared" si="8"/>
        <v>1.0000000002037268E-2</v>
      </c>
      <c r="AF75" s="63"/>
    </row>
    <row r="76" spans="1:32" x14ac:dyDescent="0.25">
      <c r="A76" s="90">
        <f>B12</f>
        <v>47330</v>
      </c>
      <c r="B76" s="34"/>
      <c r="C76" s="85">
        <f t="shared" si="2"/>
        <v>1174</v>
      </c>
      <c r="D76" s="86">
        <f t="shared" si="11"/>
        <v>974</v>
      </c>
      <c r="E76" s="78">
        <f t="shared" si="29"/>
        <v>0</v>
      </c>
      <c r="F76" s="79">
        <f>(-(($E$32/$C$76*C76)+($E$40/$D$76*D76))*$H$5/$H$4+(-$E$59/Q76*Q76))*$H$7/$H$6</f>
        <v>212984.42161998706</v>
      </c>
      <c r="G76" s="78"/>
      <c r="H76" s="79"/>
      <c r="I76" s="79">
        <f t="shared" si="30"/>
        <v>136899999.99500027</v>
      </c>
      <c r="J76" s="79">
        <f>((A76-A70)/(A76-A70))*$H$21</f>
        <v>2738000</v>
      </c>
      <c r="K76" s="79">
        <f>I76-G76-E76</f>
        <v>136899999.99500027</v>
      </c>
      <c r="L76" s="87">
        <v>100</v>
      </c>
      <c r="M76" s="50">
        <f t="shared" si="27"/>
        <v>212984.42389962959</v>
      </c>
      <c r="N76" s="50">
        <f t="shared" si="10"/>
        <v>2.2796425328124315E-3</v>
      </c>
      <c r="O76" s="50">
        <f t="shared" si="0"/>
        <v>136900000</v>
      </c>
      <c r="P76" s="51">
        <f t="shared" si="28"/>
        <v>-2.3126602172851563E-3</v>
      </c>
      <c r="Q76" s="88">
        <f t="shared" si="24"/>
        <v>457</v>
      </c>
      <c r="R76" s="89"/>
      <c r="U76" s="34"/>
      <c r="V76" s="81">
        <v>6.8199999999999999E-4</v>
      </c>
      <c r="W76" s="5">
        <v>0.6</v>
      </c>
      <c r="X76" s="82">
        <f>ROUND((K77+Q77)*V76*W76,2)</f>
        <v>0</v>
      </c>
      <c r="Y76" s="82">
        <f>+X76-X75</f>
        <v>-56019.65</v>
      </c>
      <c r="AF76" s="63"/>
    </row>
    <row r="77" spans="1:32" x14ac:dyDescent="0.25">
      <c r="B77" s="84">
        <f>-C77</f>
        <v>136899999.99500027</v>
      </c>
      <c r="C77" s="60">
        <f>-K76</f>
        <v>-136899999.99500027</v>
      </c>
      <c r="D77" s="101"/>
      <c r="E77" s="51"/>
      <c r="F77" s="102"/>
      <c r="G77" s="50"/>
      <c r="H77" s="103"/>
      <c r="I77" s="84"/>
      <c r="J77" s="84"/>
      <c r="K77" s="84"/>
      <c r="L77" s="51"/>
      <c r="M77" s="102"/>
      <c r="N77" s="50">
        <f t="shared" si="10"/>
        <v>0</v>
      </c>
      <c r="O77" s="51"/>
      <c r="Q77" s="104"/>
      <c r="AF77" s="63"/>
    </row>
  </sheetData>
  <mergeCells count="8">
    <mergeCell ref="S19:T23"/>
    <mergeCell ref="F23:G23"/>
    <mergeCell ref="M3:N8"/>
    <mergeCell ref="E4:E8"/>
    <mergeCell ref="F17:G17"/>
    <mergeCell ref="H17:I17"/>
    <mergeCell ref="E18:E23"/>
    <mergeCell ref="O19:P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B+S+B+S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Администратор</cp:lastModifiedBy>
  <dcterms:created xsi:type="dcterms:W3CDTF">2015-06-05T18:17:20Z</dcterms:created>
  <dcterms:modified xsi:type="dcterms:W3CDTF">2026-06-11T07:17:26Z</dcterms:modified>
</cp:coreProperties>
</file>